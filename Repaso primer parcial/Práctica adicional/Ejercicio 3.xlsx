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cuments\Escuela\Facultad de Ingeniería\Cuarto año (2026)\Primer cuatrimestre\Lenguajes Formales\lenguajes_formales\Repaso primer parcial\Práctica adicional\"/>
    </mc:Choice>
  </mc:AlternateContent>
  <xr:revisionPtr revIDLastSave="0" documentId="13_ncr:1_{19DF5AC6-75EC-4A60-B21A-7B6A93593263}" xr6:coauthVersionLast="47" xr6:coauthVersionMax="47" xr10:uidLastSave="{00000000-0000-0000-0000-000000000000}"/>
  <bookViews>
    <workbookView xWindow="-120" yWindow="-120" windowWidth="29040" windowHeight="15720" tabRatio="50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0" i="1" l="1"/>
  <c r="AE17" i="1"/>
  <c r="AE18" i="1"/>
  <c r="AE16" i="1"/>
  <c r="AE10" i="1"/>
  <c r="AE11" i="1"/>
  <c r="AE9" i="1"/>
  <c r="AE4" i="1"/>
  <c r="AE5" i="1"/>
  <c r="AE3" i="1"/>
  <c r="AA3" i="1"/>
  <c r="AB3" i="1"/>
  <c r="AC3" i="1"/>
  <c r="AD3" i="1"/>
  <c r="AA4" i="1"/>
  <c r="AB4" i="1"/>
  <c r="AC4" i="1"/>
  <c r="AD4" i="1"/>
  <c r="AA5" i="1"/>
  <c r="AB5" i="1"/>
  <c r="AC5" i="1"/>
  <c r="AD5" i="1"/>
  <c r="AA6" i="1"/>
  <c r="AB6" i="1"/>
  <c r="AC6" i="1"/>
  <c r="AD6" i="1"/>
  <c r="AA7" i="1"/>
  <c r="AB7" i="1"/>
  <c r="AC7" i="1"/>
  <c r="AD7" i="1"/>
  <c r="AA8" i="1"/>
  <c r="AB8" i="1"/>
  <c r="AC8" i="1"/>
  <c r="AD8" i="1"/>
  <c r="AA9" i="1"/>
  <c r="AB9" i="1"/>
  <c r="AC9" i="1"/>
  <c r="AD9" i="1"/>
  <c r="AA10" i="1"/>
  <c r="AB10" i="1"/>
  <c r="AC10" i="1"/>
  <c r="AD10" i="1"/>
  <c r="AA11" i="1"/>
  <c r="AB11" i="1"/>
  <c r="AC11" i="1"/>
  <c r="AD11" i="1"/>
  <c r="AA12" i="1"/>
  <c r="AB12" i="1"/>
  <c r="AC12" i="1"/>
  <c r="AD12" i="1"/>
  <c r="AA13" i="1"/>
  <c r="AB13" i="1"/>
  <c r="AC13" i="1"/>
  <c r="AD13" i="1"/>
  <c r="AA14" i="1"/>
  <c r="AB14" i="1"/>
  <c r="AC14" i="1"/>
  <c r="AD14" i="1"/>
  <c r="AA15" i="1"/>
  <c r="AB15" i="1"/>
  <c r="AC15" i="1"/>
  <c r="AD15" i="1"/>
  <c r="AA16" i="1"/>
  <c r="AB16" i="1"/>
  <c r="AC16" i="1"/>
  <c r="AD16" i="1"/>
  <c r="AA17" i="1"/>
  <c r="AB17" i="1"/>
  <c r="AC17" i="1"/>
  <c r="AD17" i="1"/>
  <c r="AA18" i="1"/>
  <c r="AB18" i="1"/>
  <c r="AC18" i="1"/>
  <c r="AD18" i="1"/>
  <c r="AA19" i="1"/>
  <c r="AB19" i="1"/>
  <c r="AC19" i="1"/>
  <c r="AD19" i="1"/>
  <c r="AA20" i="1"/>
  <c r="AB20" i="1"/>
  <c r="AC20" i="1"/>
  <c r="AD20" i="1"/>
  <c r="AA21" i="1"/>
  <c r="AB21" i="1"/>
  <c r="AC21" i="1"/>
  <c r="AD21" i="1"/>
  <c r="AA22" i="1"/>
  <c r="AB22" i="1"/>
  <c r="AC22" i="1"/>
  <c r="AD22" i="1"/>
  <c r="AA23" i="1"/>
  <c r="AB23" i="1"/>
  <c r="AC23" i="1"/>
  <c r="AD23" i="1"/>
  <c r="AB2" i="1"/>
  <c r="AC2" i="1"/>
  <c r="AD2" i="1"/>
  <c r="AA2" i="1"/>
  <c r="Z12" i="1"/>
  <c r="Z6" i="1"/>
  <c r="Z23" i="1"/>
  <c r="Z2" i="1"/>
  <c r="Z20" i="1"/>
  <c r="Z17" i="1"/>
  <c r="Z18" i="1"/>
  <c r="Z16" i="1"/>
  <c r="Z13" i="1"/>
  <c r="Z10" i="1"/>
  <c r="Z11" i="1"/>
  <c r="Z9" i="1"/>
  <c r="Z5" i="1"/>
  <c r="Z7" i="1"/>
  <c r="Z4" i="1"/>
  <c r="V3" i="1"/>
  <c r="W3" i="1"/>
  <c r="X3" i="1"/>
  <c r="Y3" i="1"/>
  <c r="V4" i="1"/>
  <c r="W4" i="1"/>
  <c r="X4" i="1"/>
  <c r="Y4" i="1"/>
  <c r="V5" i="1"/>
  <c r="W5" i="1"/>
  <c r="X5" i="1"/>
  <c r="Y5" i="1"/>
  <c r="V6" i="1"/>
  <c r="W6" i="1"/>
  <c r="X6" i="1"/>
  <c r="Y6" i="1"/>
  <c r="V7" i="1"/>
  <c r="W7" i="1"/>
  <c r="X7" i="1"/>
  <c r="Y7" i="1"/>
  <c r="V8" i="1"/>
  <c r="W8" i="1"/>
  <c r="X8" i="1"/>
  <c r="Y8" i="1"/>
  <c r="V9" i="1"/>
  <c r="W9" i="1"/>
  <c r="X9" i="1"/>
  <c r="Y9" i="1"/>
  <c r="V10" i="1"/>
  <c r="W10" i="1"/>
  <c r="X10" i="1"/>
  <c r="Y10" i="1"/>
  <c r="V11" i="1"/>
  <c r="W11" i="1"/>
  <c r="X11" i="1"/>
  <c r="Y11" i="1"/>
  <c r="V12" i="1"/>
  <c r="W12" i="1"/>
  <c r="X12" i="1"/>
  <c r="Y12" i="1"/>
  <c r="V13" i="1"/>
  <c r="W13" i="1"/>
  <c r="X13" i="1"/>
  <c r="Y13" i="1"/>
  <c r="V14" i="1"/>
  <c r="W14" i="1"/>
  <c r="X14" i="1"/>
  <c r="Y14" i="1"/>
  <c r="V15" i="1"/>
  <c r="W15" i="1"/>
  <c r="X15" i="1"/>
  <c r="Y15" i="1"/>
  <c r="V16" i="1"/>
  <c r="W16" i="1"/>
  <c r="X16" i="1"/>
  <c r="Y16" i="1"/>
  <c r="V17" i="1"/>
  <c r="W17" i="1"/>
  <c r="X17" i="1"/>
  <c r="Y17" i="1"/>
  <c r="V18" i="1"/>
  <c r="W18" i="1"/>
  <c r="X18" i="1"/>
  <c r="Y18" i="1"/>
  <c r="V19" i="1"/>
  <c r="W19" i="1"/>
  <c r="X19" i="1"/>
  <c r="Y19" i="1"/>
  <c r="V20" i="1"/>
  <c r="W20" i="1"/>
  <c r="X20" i="1"/>
  <c r="Y20" i="1"/>
  <c r="V21" i="1"/>
  <c r="W21" i="1"/>
  <c r="X21" i="1"/>
  <c r="Y21" i="1"/>
  <c r="V22" i="1"/>
  <c r="W22" i="1"/>
  <c r="X22" i="1"/>
  <c r="Y22" i="1"/>
  <c r="V23" i="1"/>
  <c r="W23" i="1"/>
  <c r="X23" i="1"/>
  <c r="Y23" i="1"/>
  <c r="W2" i="1"/>
  <c r="X2" i="1"/>
  <c r="Y2" i="1"/>
  <c r="V2" i="1"/>
  <c r="U22" i="1" a="1"/>
  <c r="U22" i="1" s="1"/>
  <c r="U23" i="1" a="1"/>
  <c r="U23" i="1" s="1"/>
  <c r="U20" i="1" a="1"/>
  <c r="U20" i="1" s="1"/>
  <c r="U21" i="1" a="1"/>
  <c r="U21" i="1" s="1"/>
  <c r="U19" i="1" a="1"/>
  <c r="U19" i="1" s="1"/>
  <c r="U16" i="1" a="1"/>
  <c r="U16" i="1" s="1"/>
  <c r="U17" i="1" a="1"/>
  <c r="U17" i="1" s="1"/>
  <c r="U18" i="1" a="1"/>
  <c r="U18" i="1" s="1"/>
  <c r="U15" i="1" a="1"/>
  <c r="U15" i="1" s="1"/>
  <c r="U14" i="1" a="1"/>
  <c r="U14" i="1" s="1"/>
  <c r="U13" i="1" a="1"/>
  <c r="U13" i="1" s="1"/>
  <c r="U12" i="1" a="1"/>
  <c r="U12" i="1" s="1"/>
  <c r="U9" i="1" a="1"/>
  <c r="U9" i="1" s="1"/>
  <c r="U10" i="1" a="1"/>
  <c r="U10" i="1" s="1"/>
  <c r="U11" i="1" a="1"/>
  <c r="U11" i="1" s="1"/>
  <c r="U8" i="1" a="1"/>
  <c r="U8" i="1" s="1"/>
  <c r="U7" i="1" a="1"/>
  <c r="U7" i="1" s="1"/>
  <c r="U6" i="1" a="1"/>
  <c r="U6" i="1" s="1"/>
  <c r="U5" i="1" a="1"/>
  <c r="U5" i="1" s="1"/>
  <c r="U4" i="1"/>
  <c r="U3" i="1"/>
  <c r="U2" i="1"/>
  <c r="Q3" i="1"/>
  <c r="R3" i="1"/>
  <c r="S3" i="1"/>
  <c r="T3" i="1"/>
  <c r="Q4" i="1"/>
  <c r="R4" i="1"/>
  <c r="S4" i="1"/>
  <c r="T4" i="1"/>
  <c r="Q5" i="1"/>
  <c r="R5" i="1"/>
  <c r="S5" i="1"/>
  <c r="T5" i="1"/>
  <c r="Q6" i="1"/>
  <c r="R6" i="1"/>
  <c r="S6" i="1"/>
  <c r="T6" i="1"/>
  <c r="Q7" i="1"/>
  <c r="R7" i="1"/>
  <c r="S7" i="1"/>
  <c r="T7" i="1"/>
  <c r="Q8" i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R2" i="1"/>
  <c r="S2" i="1"/>
  <c r="T2" i="1"/>
  <c r="Q2" i="1"/>
  <c r="P11" i="1" a="1"/>
  <c r="P11" i="1" s="1"/>
  <c r="P22" i="1" a="1"/>
  <c r="P22" i="1" s="1"/>
  <c r="P23" i="1" a="1"/>
  <c r="P23" i="1" s="1"/>
  <c r="P21" i="1" a="1"/>
  <c r="P21" i="1" s="1"/>
  <c r="P19" i="1" a="1"/>
  <c r="P19" i="1" s="1"/>
  <c r="P17" i="1" a="1"/>
  <c r="P17" i="1" s="1"/>
  <c r="P15" i="1" a="1"/>
  <c r="P15" i="1" s="1"/>
  <c r="P14" i="1" a="1"/>
  <c r="P14" i="1" s="1"/>
  <c r="P6" i="1" a="1"/>
  <c r="P6" i="1" s="1"/>
  <c r="P12" i="1" s="1" a="1"/>
  <c r="P12" i="1" s="1"/>
  <c r="P4" i="1"/>
  <c r="P5" i="1" a="1"/>
  <c r="P5" i="1" s="1"/>
  <c r="P7" i="1" a="1"/>
  <c r="P7" i="1" s="1"/>
  <c r="P8" i="1" a="1"/>
  <c r="P8" i="1" s="1"/>
  <c r="P9" i="1"/>
  <c r="P10" i="1"/>
  <c r="P16" i="1"/>
  <c r="P20" i="1"/>
  <c r="L3" i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M2" i="1"/>
  <c r="N2" i="1"/>
  <c r="O2" i="1"/>
  <c r="L2" i="1"/>
  <c r="K17" i="1" a="1"/>
  <c r="K17" i="1" s="1"/>
  <c r="K18" i="1" a="1"/>
  <c r="K18" i="1" s="1"/>
  <c r="K19" i="1" a="1"/>
  <c r="K19" i="1" s="1"/>
  <c r="K21" i="1" a="1"/>
  <c r="K21" i="1" s="1"/>
  <c r="K22" i="1" a="1"/>
  <c r="K22" i="1" s="1"/>
  <c r="K23" i="1" a="1"/>
  <c r="K23" i="1" s="1"/>
  <c r="K15" i="1" a="1"/>
  <c r="K15" i="1" s="1"/>
  <c r="K14" i="1" a="1"/>
  <c r="K14" i="1" s="1"/>
  <c r="K13" i="1" a="1"/>
  <c r="K13" i="1" s="1"/>
  <c r="K12" i="1" a="1"/>
  <c r="K12" i="1" s="1"/>
  <c r="K11" i="1" a="1"/>
  <c r="K11" i="1" s="1"/>
  <c r="G3" i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H2" i="1"/>
  <c r="I2" i="1"/>
  <c r="J2" i="1"/>
  <c r="G2" i="1"/>
  <c r="P13" i="1" l="1" a="1"/>
  <c r="P13" i="1" s="1"/>
  <c r="P18" i="1" a="1"/>
  <c r="P18" i="1" s="1"/>
</calcChain>
</file>

<file path=xl/sharedStrings.xml><?xml version="1.0" encoding="utf-8"?>
<sst xmlns="http://schemas.openxmlformats.org/spreadsheetml/2006/main" count="195" uniqueCount="44">
  <si>
    <t>Q</t>
  </si>
  <si>
    <t>a</t>
  </si>
  <si>
    <t>b</t>
  </si>
  <si>
    <t>c</t>
  </si>
  <si>
    <t>d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</si>
  <si>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</si>
  <si>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</si>
  <si>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</si>
  <si>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</si>
  <si>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</si>
  <si>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</si>
  <si>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</si>
  <si>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</si>
  <si>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</si>
  <si>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</si>
  <si>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</si>
  <si>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</si>
  <si>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</si>
  <si>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</si>
  <si>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</si>
  <si>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</si>
  <si>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</si>
  <si>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</si>
  <si>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</si>
  <si>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</si>
  <si>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</si>
  <si>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</si>
  <si>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P1</t>
  </si>
  <si>
    <t>G2</t>
  </si>
  <si>
    <t>G1</t>
  </si>
  <si>
    <t>P2</t>
  </si>
  <si>
    <t>G3</t>
  </si>
  <si>
    <t>G4</t>
  </si>
  <si>
    <t>G5</t>
  </si>
  <si>
    <t>G6</t>
  </si>
  <si>
    <t>G7</t>
  </si>
  <si>
    <t>P3</t>
  </si>
  <si>
    <t>P4</t>
  </si>
  <si>
    <t>P5</t>
  </si>
  <si>
    <t>G15</t>
  </si>
  <si>
    <t>P6</t>
  </si>
  <si>
    <t>G11</t>
  </si>
  <si>
    <t>G13</t>
  </si>
  <si>
    <t>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</si>
</sst>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tabSelected="1" topLeftCell="O1" zoomScale="145" zoomScaleNormal="145" workbookViewId="0">
      <selection activeCell="AE23" sqref="AE23"/>
    </sheetView>
  </sheetViews>
  <sheetFormatPr baseColWidth="10" defaultColWidth="9.140625" defaultRowHeight="15" x14ac:dyDescent="0.25"/>
  <cols>
    <col min="11" max="11" width="9.42578125" bestFit="1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27</v>
      </c>
      <c r="G1" s="1" t="s">
        <v>1</v>
      </c>
      <c r="H1" s="1" t="s">
        <v>2</v>
      </c>
      <c r="I1" s="1" t="s">
        <v>3</v>
      </c>
      <c r="J1" s="1" t="s">
        <v>4</v>
      </c>
      <c r="K1" s="2" t="s">
        <v>30</v>
      </c>
      <c r="L1" s="1" t="s">
        <v>1</v>
      </c>
      <c r="M1" s="1" t="s">
        <v>2</v>
      </c>
      <c r="N1" s="1" t="s">
        <v>3</v>
      </c>
      <c r="O1" s="1" t="s">
        <v>4</v>
      </c>
      <c r="P1" s="2" t="s">
        <v>36</v>
      </c>
      <c r="Q1" s="1" t="s">
        <v>1</v>
      </c>
      <c r="R1" s="1" t="s">
        <v>2</v>
      </c>
      <c r="S1" s="1" t="s">
        <v>3</v>
      </c>
      <c r="T1" s="1" t="s">
        <v>4</v>
      </c>
      <c r="U1" s="2" t="s">
        <v>37</v>
      </c>
      <c r="V1" s="1" t="s">
        <v>1</v>
      </c>
      <c r="W1" s="1" t="s">
        <v>2</v>
      </c>
      <c r="X1" s="1" t="s">
        <v>3</v>
      </c>
      <c r="Y1" s="1" t="s">
        <v>4</v>
      </c>
      <c r="Z1" s="2" t="s">
        <v>38</v>
      </c>
      <c r="AA1" s="1" t="s">
        <v>1</v>
      </c>
      <c r="AB1" s="1" t="s">
        <v>2</v>
      </c>
      <c r="AC1" s="1" t="s">
        <v>3</v>
      </c>
      <c r="AD1" s="1" t="s">
        <v>4</v>
      </c>
      <c r="AE1" s="2" t="s">
        <v>40</v>
      </c>
    </row>
    <row r="2" spans="1:31" s="3" customFormat="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28</v>
      </c>
      <c r="G2" s="3" t="str">
        <f>VLOOKUP(B2,$A$2:$F$23,6,FALSE)</f>
        <v>G1</v>
      </c>
      <c r="H2" s="3" t="str">
        <f t="shared" ref="H2:J2" si="0">VLOOKUP(C2,$A$2:$F$23,6,FALSE)</f>
        <v>G1</v>
      </c>
      <c r="I2" s="3" t="str">
        <f t="shared" si="0"/>
        <v>G2</v>
      </c>
      <c r="J2" s="3" t="str">
        <f t="shared" si="0"/>
        <v>G2</v>
      </c>
      <c r="K2" s="4" t="s">
        <v>29</v>
      </c>
      <c r="L2" s="3" t="str">
        <f>VLOOKUP(B2,$A$2:$K$23,11,FALSE)</f>
        <v>G2</v>
      </c>
      <c r="M2" s="3" t="str">
        <f t="shared" ref="M2:O2" si="1">VLOOKUP(C2,$A$2:$K$23,11,FALSE)</f>
        <v>G2</v>
      </c>
      <c r="N2" s="3" t="str">
        <f t="shared" si="1"/>
        <v>G1</v>
      </c>
      <c r="O2" s="3" t="str">
        <f t="shared" si="1"/>
        <v>G3</v>
      </c>
      <c r="P2" s="4" t="s">
        <v>29</v>
      </c>
      <c r="Q2" s="3" t="str">
        <f>VLOOKUP(B2,$A$2:$P$23,16,FALSE)</f>
        <v>G2</v>
      </c>
      <c r="R2" s="3" t="str">
        <f t="shared" ref="R2:T2" si="2">VLOOKUP(C2,$A$2:$P$23,16,FALSE)</f>
        <v>G3</v>
      </c>
      <c r="S2" s="3" t="str">
        <f t="shared" si="2"/>
        <v>G1</v>
      </c>
      <c r="T2" s="3" t="str">
        <f t="shared" si="2"/>
        <v>G8</v>
      </c>
      <c r="U2" s="4" t="str">
        <f>IF(COUNTIF($P$2:$P$23,P2)=1,P2,"G1")</f>
        <v>G1</v>
      </c>
      <c r="V2" s="3" t="str">
        <f>VLOOKUP(B2,$A$2:$U$23,21,FALSE)</f>
        <v>G2</v>
      </c>
      <c r="W2" s="3" t="str">
        <f t="shared" ref="W2:Y2" si="3">VLOOKUP(C2,$A$2:$U$23,21,FALSE)</f>
        <v>G3</v>
      </c>
      <c r="X2" s="3" t="str">
        <f t="shared" si="3"/>
        <v>G8</v>
      </c>
      <c r="Y2" s="3" t="str">
        <f t="shared" si="3"/>
        <v>G9</v>
      </c>
      <c r="Z2" s="4" t="str">
        <f>U2</f>
        <v>G1</v>
      </c>
      <c r="AA2" s="3" t="str">
        <f>VLOOKUP(B2,$A$2:$Z$23,26,FALSE)</f>
        <v>G15</v>
      </c>
      <c r="AB2" s="3" t="str">
        <f t="shared" ref="AB2:AD2" si="4">VLOOKUP(C2,$A$2:$Z$23,26,FALSE)</f>
        <v>G3</v>
      </c>
      <c r="AC2" s="3" t="str">
        <f t="shared" si="4"/>
        <v>G8</v>
      </c>
      <c r="AD2" s="3" t="str">
        <f t="shared" si="4"/>
        <v>G9</v>
      </c>
      <c r="AE2" s="4" t="s">
        <v>29</v>
      </c>
    </row>
    <row r="3" spans="1:31" s="3" customFormat="1" x14ac:dyDescent="0.25">
      <c r="A3" s="3" t="s">
        <v>6</v>
      </c>
      <c r="B3" s="3" t="s">
        <v>10</v>
      </c>
      <c r="C3" s="3" t="s">
        <v>11</v>
      </c>
      <c r="D3" s="3" t="s">
        <v>11</v>
      </c>
      <c r="E3" s="3" t="s">
        <v>11</v>
      </c>
      <c r="F3" s="4" t="s">
        <v>29</v>
      </c>
      <c r="G3" s="3" t="str">
        <f t="shared" ref="G3:G23" si="5">VLOOKUP(B3,$A$2:$F$23,6,FALSE)</f>
        <v>G1</v>
      </c>
      <c r="H3" s="3" t="str">
        <f t="shared" ref="H3:H23" si="6">VLOOKUP(C3,$A$2:$F$23,6,FALSE)</f>
        <v>G1</v>
      </c>
      <c r="I3" s="3" t="str">
        <f t="shared" ref="I3:I23" si="7">VLOOKUP(D3,$A$2:$F$23,6,FALSE)</f>
        <v>G1</v>
      </c>
      <c r="J3" s="3" t="str">
        <f t="shared" ref="J3:J23" si="8">VLOOKUP(E3,$A$2:$F$23,6,FALSE)</f>
        <v>G1</v>
      </c>
      <c r="K3" s="4" t="s">
        <v>28</v>
      </c>
      <c r="L3" s="3" t="str">
        <f t="shared" ref="L3:L23" si="9">VLOOKUP(B3,$A$2:$K$23,11,FALSE)</f>
        <v>G2</v>
      </c>
      <c r="M3" s="3" t="str">
        <f t="shared" ref="M3:M23" si="10">VLOOKUP(C3,$A$2:$K$23,11,FALSE)</f>
        <v>G2</v>
      </c>
      <c r="N3" s="3" t="str">
        <f t="shared" ref="N3:N23" si="11">VLOOKUP(D3,$A$2:$K$23,11,FALSE)</f>
        <v>G2</v>
      </c>
      <c r="O3" s="3" t="str">
        <f t="shared" ref="O3:O23" si="12">VLOOKUP(E3,$A$2:$K$23,11,FALSE)</f>
        <v>G2</v>
      </c>
      <c r="P3" s="4" t="s">
        <v>28</v>
      </c>
      <c r="Q3" s="3" t="str">
        <f t="shared" ref="Q3:Q23" si="13">VLOOKUP(B3,$A$2:$P$23,16,FALSE)</f>
        <v>G2</v>
      </c>
      <c r="R3" s="3" t="str">
        <f t="shared" ref="R3:R23" si="14">VLOOKUP(C3,$A$2:$P$23,16,FALSE)</f>
        <v>G2</v>
      </c>
      <c r="S3" s="3" t="str">
        <f t="shared" ref="S3:S23" si="15">VLOOKUP(D3,$A$2:$P$23,16,FALSE)</f>
        <v>G2</v>
      </c>
      <c r="T3" s="3" t="str">
        <f t="shared" ref="T3:T23" si="16">VLOOKUP(E3,$A$2:$P$23,16,FALSE)</f>
        <v>G2</v>
      </c>
      <c r="U3" s="4" t="str">
        <f>IF(COUNTIF($P$2:$P$23,P3)=1,P3,IFERROR(INDEX($U$2:U2,MATCH(1,($P$2:P2=P3)*($Q$2:Q2=Q3)*($R$2:R2=R3)*($S$2:S2=S3)*($T$2:T2=T3),0)),"G2"))</f>
        <v>G2</v>
      </c>
      <c r="V3" s="3" t="str">
        <f t="shared" ref="V3:V23" si="17">VLOOKUP(B3,$A$2:$U$23,21,FALSE)</f>
        <v>G11</v>
      </c>
      <c r="W3" s="3" t="str">
        <f t="shared" ref="W3:W23" si="18">VLOOKUP(C3,$A$2:$U$23,21,FALSE)</f>
        <v>G2</v>
      </c>
      <c r="X3" s="3" t="str">
        <f t="shared" ref="X3:X23" si="19">VLOOKUP(D3,$A$2:$U$23,21,FALSE)</f>
        <v>G2</v>
      </c>
      <c r="Y3" s="3" t="str">
        <f t="shared" ref="Y3:Y23" si="20">VLOOKUP(E3,$A$2:$U$23,21,FALSE)</f>
        <v>G2</v>
      </c>
      <c r="Z3" s="5" t="s">
        <v>39</v>
      </c>
      <c r="AA3" s="3" t="str">
        <f t="shared" ref="AA3:AA23" si="21">VLOOKUP(B3,$A$2:$Z$23,26,FALSE)</f>
        <v>G11</v>
      </c>
      <c r="AB3" s="3" t="str">
        <f t="shared" ref="AB3:AB23" si="22">VLOOKUP(C3,$A$2:$Z$23,26,FALSE)</f>
        <v>G2</v>
      </c>
      <c r="AC3" s="3" t="str">
        <f t="shared" ref="AC3:AC23" si="23">VLOOKUP(D3,$A$2:$Z$23,26,FALSE)</f>
        <v>G2</v>
      </c>
      <c r="AD3" s="3" t="str">
        <f t="shared" ref="AD3:AD23" si="24">VLOOKUP(E3,$A$2:$Z$23,26,FALSE)</f>
        <v>G2</v>
      </c>
      <c r="AE3" s="4" t="str">
        <f>Z3</f>
        <v>G15</v>
      </c>
    </row>
    <row r="4" spans="1:31" s="3" customFormat="1" x14ac:dyDescent="0.25">
      <c r="A4" s="3" t="s">
        <v>7</v>
      </c>
      <c r="B4" s="3" t="s">
        <v>11</v>
      </c>
      <c r="C4" s="3" t="s">
        <v>12</v>
      </c>
      <c r="D4" s="3" t="s">
        <v>11</v>
      </c>
      <c r="E4" s="3" t="s">
        <v>13</v>
      </c>
      <c r="F4" s="4" t="s">
        <v>29</v>
      </c>
      <c r="G4" s="3" t="str">
        <f t="shared" si="5"/>
        <v>G1</v>
      </c>
      <c r="H4" s="3" t="str">
        <f t="shared" si="6"/>
        <v>G1</v>
      </c>
      <c r="I4" s="3" t="str">
        <f t="shared" si="7"/>
        <v>G1</v>
      </c>
      <c r="J4" s="3" t="str">
        <f t="shared" si="8"/>
        <v>G1</v>
      </c>
      <c r="K4" s="4" t="s">
        <v>28</v>
      </c>
      <c r="L4" s="3" t="str">
        <f t="shared" si="9"/>
        <v>G2</v>
      </c>
      <c r="M4" s="3" t="str">
        <f t="shared" si="10"/>
        <v>G4</v>
      </c>
      <c r="N4" s="3" t="str">
        <f t="shared" si="11"/>
        <v>G2</v>
      </c>
      <c r="O4" s="3" t="str">
        <f t="shared" si="12"/>
        <v>G5</v>
      </c>
      <c r="P4" s="4" t="str">
        <f>IFERROR(INDEX($P$2:P3,MATCH(1,($K$2:K3=K4)*($L$2:L3=L4)*($M$2:M3=M4)*($N$2:N3=N4)*($O$2:O3=O4),0)),"G3")</f>
        <v>G3</v>
      </c>
      <c r="Q4" s="3" t="str">
        <f t="shared" si="13"/>
        <v>G2</v>
      </c>
      <c r="R4" s="3" t="str">
        <f t="shared" si="14"/>
        <v>G4</v>
      </c>
      <c r="S4" s="3" t="str">
        <f t="shared" si="15"/>
        <v>G2</v>
      </c>
      <c r="T4" s="3" t="str">
        <f t="shared" si="16"/>
        <v>G5</v>
      </c>
      <c r="U4" s="5" t="str">
        <f>IF(COUNTIF($P$2:$P$23,P4)=1,P4,IFERROR(INDEX($U$2:U3,MATCH(1,($P$2:P3=P4)*($Q$2:Q3=Q4)*($R$2:R3=R4)*($S$2:S3=S4)*($T$2:T3=T4),0)),"G2"))</f>
        <v>G3</v>
      </c>
      <c r="V4" s="3" t="str">
        <f t="shared" si="17"/>
        <v>G2</v>
      </c>
      <c r="W4" s="3" t="str">
        <f t="shared" si="18"/>
        <v>G4</v>
      </c>
      <c r="X4" s="3" t="str">
        <f t="shared" si="19"/>
        <v>G2</v>
      </c>
      <c r="Y4" s="3" t="str">
        <f t="shared" si="20"/>
        <v>G5</v>
      </c>
      <c r="Z4" s="5" t="str">
        <f>U4</f>
        <v>G3</v>
      </c>
      <c r="AA4" s="3" t="str">
        <f t="shared" si="21"/>
        <v>G2</v>
      </c>
      <c r="AB4" s="3" t="str">
        <f t="shared" si="22"/>
        <v>G4</v>
      </c>
      <c r="AC4" s="3" t="str">
        <f t="shared" si="23"/>
        <v>G2</v>
      </c>
      <c r="AD4" s="3" t="str">
        <f t="shared" si="24"/>
        <v>G5</v>
      </c>
      <c r="AE4" s="4" t="str">
        <f t="shared" ref="AE4:AE5" si="25">Z4</f>
        <v>G3</v>
      </c>
    </row>
    <row r="5" spans="1:31" s="3" customFormat="1" x14ac:dyDescent="0.25">
      <c r="A5" s="3" t="s">
        <v>8</v>
      </c>
      <c r="B5" s="3" t="s">
        <v>11</v>
      </c>
      <c r="C5" s="3" t="s">
        <v>14</v>
      </c>
      <c r="D5" s="3" t="s">
        <v>8</v>
      </c>
      <c r="E5" s="3" t="s">
        <v>9</v>
      </c>
      <c r="F5" s="4" t="s">
        <v>28</v>
      </c>
      <c r="G5" s="3" t="str">
        <f t="shared" si="5"/>
        <v>G1</v>
      </c>
      <c r="H5" s="3" t="str">
        <f t="shared" si="6"/>
        <v>G1</v>
      </c>
      <c r="I5" s="3" t="str">
        <f t="shared" si="7"/>
        <v>G2</v>
      </c>
      <c r="J5" s="3" t="str">
        <f t="shared" si="8"/>
        <v>G2</v>
      </c>
      <c r="K5" s="4" t="s">
        <v>29</v>
      </c>
      <c r="L5" s="3" t="str">
        <f t="shared" si="9"/>
        <v>G2</v>
      </c>
      <c r="M5" s="3" t="str">
        <f t="shared" si="10"/>
        <v>G2</v>
      </c>
      <c r="N5" s="3" t="str">
        <f t="shared" si="11"/>
        <v>G1</v>
      </c>
      <c r="O5" s="3" t="str">
        <f t="shared" si="12"/>
        <v>G3</v>
      </c>
      <c r="P5" s="4" t="str">
        <f t="array" ref="P5">INDEX($P$2:P4,MATCH(1,($K$2:K4=K5)*($L$2:L4=L5)*($M$2:M4=M5)*($N$2:N4=N5)*($O$2:O4=O5),0))</f>
        <v>G1</v>
      </c>
      <c r="Q5" s="3" t="str">
        <f t="shared" si="13"/>
        <v>G2</v>
      </c>
      <c r="R5" s="3" t="str">
        <f t="shared" si="14"/>
        <v>G9</v>
      </c>
      <c r="S5" s="3" t="str">
        <f t="shared" si="15"/>
        <v>G1</v>
      </c>
      <c r="T5" s="3" t="str">
        <f t="shared" si="16"/>
        <v>G8</v>
      </c>
      <c r="U5" s="5" t="str">
        <f t="array" ref="U5">IF(COUNTIF($P$2:$P$23,P5)=1,P5,IFERROR(INDEX($U$2:U4,MATCH(1,($P$2:P4=P5)*($Q$2:Q4=Q5)*($R$2:R4=R5)*($S$2:S4=S5)*($T$2:T4=T5),0)),"G8"))</f>
        <v>G8</v>
      </c>
      <c r="V5" s="3" t="str">
        <f t="shared" si="17"/>
        <v>G2</v>
      </c>
      <c r="W5" s="3" t="str">
        <f t="shared" si="18"/>
        <v>G12</v>
      </c>
      <c r="X5" s="3" t="str">
        <f t="shared" si="19"/>
        <v>G8</v>
      </c>
      <c r="Y5" s="3" t="str">
        <f t="shared" si="20"/>
        <v>G9</v>
      </c>
      <c r="Z5" s="5" t="str">
        <f t="shared" ref="Z5:Z7" si="26">U5</f>
        <v>G8</v>
      </c>
      <c r="AA5" s="3" t="str">
        <f t="shared" si="21"/>
        <v>G2</v>
      </c>
      <c r="AB5" s="3" t="str">
        <f t="shared" si="22"/>
        <v>G12</v>
      </c>
      <c r="AC5" s="3" t="str">
        <f t="shared" si="23"/>
        <v>G8</v>
      </c>
      <c r="AD5" s="3" t="str">
        <f t="shared" si="24"/>
        <v>G9</v>
      </c>
      <c r="AE5" s="4" t="str">
        <f t="shared" si="25"/>
        <v>G8</v>
      </c>
    </row>
    <row r="6" spans="1:31" s="3" customFormat="1" x14ac:dyDescent="0.25">
      <c r="A6" s="3" t="s">
        <v>9</v>
      </c>
      <c r="B6" s="3" t="s">
        <v>11</v>
      </c>
      <c r="C6" s="3" t="s">
        <v>11</v>
      </c>
      <c r="D6" s="3" t="s">
        <v>11</v>
      </c>
      <c r="E6" s="3" t="s">
        <v>15</v>
      </c>
      <c r="F6" s="4" t="s">
        <v>28</v>
      </c>
      <c r="G6" s="3" t="str">
        <f t="shared" si="5"/>
        <v>G1</v>
      </c>
      <c r="H6" s="3" t="str">
        <f t="shared" si="6"/>
        <v>G1</v>
      </c>
      <c r="I6" s="3" t="str">
        <f t="shared" si="7"/>
        <v>G1</v>
      </c>
      <c r="J6" s="3" t="str">
        <f t="shared" si="8"/>
        <v>G2</v>
      </c>
      <c r="K6" s="4" t="s">
        <v>31</v>
      </c>
      <c r="L6" s="3" t="str">
        <f t="shared" si="9"/>
        <v>G2</v>
      </c>
      <c r="M6" s="3" t="str">
        <f t="shared" si="10"/>
        <v>G2</v>
      </c>
      <c r="N6" s="3" t="str">
        <f t="shared" si="11"/>
        <v>G2</v>
      </c>
      <c r="O6" s="3" t="str">
        <f t="shared" si="12"/>
        <v>G3</v>
      </c>
      <c r="P6" s="4" t="str">
        <f t="array" ref="P6">IFERROR(INDEX($P$2:P5,MATCH(1,($K$2:K5=K6)*($L$2:L5=L6)*($M$2:M5=M6)*($N$2:N5=N6)*($O$2:O5=O6),0)),"G8")</f>
        <v>G8</v>
      </c>
      <c r="Q6" s="3" t="str">
        <f t="shared" si="13"/>
        <v>G2</v>
      </c>
      <c r="R6" s="3" t="str">
        <f t="shared" si="14"/>
        <v>G2</v>
      </c>
      <c r="S6" s="3" t="str">
        <f t="shared" si="15"/>
        <v>G2</v>
      </c>
      <c r="T6" s="3" t="str">
        <f t="shared" si="16"/>
        <v>G8</v>
      </c>
      <c r="U6" s="4" t="str">
        <f t="array" ref="U6">IF(COUNTIF($P$2:$P$23,P6)=1,P6,IFERROR(INDEX($U$2:U5,MATCH(1,($P$2:P5=P6)*($Q$2:Q5=Q6)*($R$2:R5=R6)*($S$2:S5=S6)*($T$2:T5=T6),0)),"G9"))</f>
        <v>G9</v>
      </c>
      <c r="V6" s="3" t="str">
        <f t="shared" si="17"/>
        <v>G2</v>
      </c>
      <c r="W6" s="3" t="str">
        <f t="shared" si="18"/>
        <v>G2</v>
      </c>
      <c r="X6" s="3" t="str">
        <f t="shared" si="19"/>
        <v>G2</v>
      </c>
      <c r="Y6" s="3" t="str">
        <f t="shared" si="20"/>
        <v>G9</v>
      </c>
      <c r="Z6" s="4" t="str">
        <f>U6</f>
        <v>G9</v>
      </c>
      <c r="AA6" s="3" t="str">
        <f t="shared" si="21"/>
        <v>G2</v>
      </c>
      <c r="AB6" s="3" t="str">
        <f t="shared" si="22"/>
        <v>G2</v>
      </c>
      <c r="AC6" s="3" t="str">
        <f t="shared" si="23"/>
        <v>G2</v>
      </c>
      <c r="AD6" s="3" t="str">
        <f t="shared" si="24"/>
        <v>G9</v>
      </c>
      <c r="AE6" s="4" t="s">
        <v>43</v>
      </c>
    </row>
    <row r="7" spans="1:31" s="3" customFormat="1" x14ac:dyDescent="0.25">
      <c r="A7" s="3" t="s">
        <v>10</v>
      </c>
      <c r="B7" s="3" t="s">
        <v>16</v>
      </c>
      <c r="C7" s="3" t="s">
        <v>17</v>
      </c>
      <c r="D7" s="3" t="s">
        <v>18</v>
      </c>
      <c r="E7" s="3" t="s">
        <v>18</v>
      </c>
      <c r="F7" s="4" t="s">
        <v>29</v>
      </c>
      <c r="G7" s="3" t="str">
        <f t="shared" si="5"/>
        <v>G1</v>
      </c>
      <c r="H7" s="3" t="str">
        <f t="shared" si="6"/>
        <v>G1</v>
      </c>
      <c r="I7" s="3" t="str">
        <f t="shared" si="7"/>
        <v>G1</v>
      </c>
      <c r="J7" s="3" t="str">
        <f t="shared" si="8"/>
        <v>G1</v>
      </c>
      <c r="K7" s="4" t="s">
        <v>28</v>
      </c>
      <c r="L7" s="3" t="str">
        <f t="shared" si="9"/>
        <v>G2</v>
      </c>
      <c r="M7" s="3" t="str">
        <f t="shared" si="10"/>
        <v>G2</v>
      </c>
      <c r="N7" s="3" t="str">
        <f t="shared" si="11"/>
        <v>G2</v>
      </c>
      <c r="O7" s="3" t="str">
        <f t="shared" si="12"/>
        <v>G2</v>
      </c>
      <c r="P7" s="4" t="str">
        <f t="array" ref="P7">INDEX($P$2:P6,MATCH(1,($K$2:K6=K7)*($L$2:L6=L7)*($M$2:M6=M7)*($N$2:N6=N7)*($O$2:O6=O7),0))</f>
        <v>G2</v>
      </c>
      <c r="Q7" s="3" t="str">
        <f t="shared" si="13"/>
        <v>G9</v>
      </c>
      <c r="R7" s="3" t="str">
        <f t="shared" si="14"/>
        <v>G2</v>
      </c>
      <c r="S7" s="3" t="str">
        <f t="shared" si="15"/>
        <v>G2</v>
      </c>
      <c r="T7" s="3" t="str">
        <f t="shared" si="16"/>
        <v>G2</v>
      </c>
      <c r="U7" s="5" t="str">
        <f t="array" ref="U7">IF(COUNTIF($P$2:$P$23,P7)=1,P7,IFERROR(INDEX($U$2:U6,MATCH(1,($P$2:P6=P7)*($Q$2:Q6=Q7)*($R$2:R6=R7)*($S$2:S6=S7)*($T$2:T6=T7),0)),"G11"))</f>
        <v>G11</v>
      </c>
      <c r="V7" s="3" t="str">
        <f t="shared" si="17"/>
        <v>G13</v>
      </c>
      <c r="W7" s="3" t="str">
        <f t="shared" si="18"/>
        <v>G2</v>
      </c>
      <c r="X7" s="3" t="str">
        <f t="shared" si="19"/>
        <v>G2</v>
      </c>
      <c r="Y7" s="3" t="str">
        <f t="shared" si="20"/>
        <v>G2</v>
      </c>
      <c r="Z7" s="5" t="str">
        <f t="shared" si="26"/>
        <v>G11</v>
      </c>
      <c r="AA7" s="3" t="str">
        <f t="shared" si="21"/>
        <v>G13</v>
      </c>
      <c r="AB7" s="3" t="str">
        <f t="shared" si="22"/>
        <v>G2</v>
      </c>
      <c r="AC7" s="3" t="str">
        <f t="shared" si="23"/>
        <v>G2</v>
      </c>
      <c r="AD7" s="3" t="str">
        <f t="shared" si="24"/>
        <v>G2</v>
      </c>
      <c r="AE7" s="4" t="s">
        <v>41</v>
      </c>
    </row>
    <row r="8" spans="1:31" s="3" customFormat="1" x14ac:dyDescent="0.25">
      <c r="A8" s="3" t="s">
        <v>11</v>
      </c>
      <c r="B8" s="3" t="s">
        <v>11</v>
      </c>
      <c r="C8" s="3" t="s">
        <v>11</v>
      </c>
      <c r="D8" s="3" t="s">
        <v>11</v>
      </c>
      <c r="E8" s="3" t="s">
        <v>11</v>
      </c>
      <c r="F8" s="4" t="s">
        <v>29</v>
      </c>
      <c r="G8" s="3" t="str">
        <f t="shared" si="5"/>
        <v>G1</v>
      </c>
      <c r="H8" s="3" t="str">
        <f t="shared" si="6"/>
        <v>G1</v>
      </c>
      <c r="I8" s="3" t="str">
        <f t="shared" si="7"/>
        <v>G1</v>
      </c>
      <c r="J8" s="3" t="str">
        <f t="shared" si="8"/>
        <v>G1</v>
      </c>
      <c r="K8" s="4" t="s">
        <v>28</v>
      </c>
      <c r="L8" s="3" t="str">
        <f t="shared" si="9"/>
        <v>G2</v>
      </c>
      <c r="M8" s="3" t="str">
        <f t="shared" si="10"/>
        <v>G2</v>
      </c>
      <c r="N8" s="3" t="str">
        <f t="shared" si="11"/>
        <v>G2</v>
      </c>
      <c r="O8" s="3" t="str">
        <f t="shared" si="12"/>
        <v>G2</v>
      </c>
      <c r="P8" s="4" t="str">
        <f t="array" ref="P8">INDEX($P$2:P7,MATCH(1,($K$2:K7=K8)*($L$2:L7=L8)*($M$2:M7=M8)*($N$2:N7=N8)*($O$2:O7=O8),0))</f>
        <v>G2</v>
      </c>
      <c r="Q8" s="3" t="str">
        <f t="shared" si="13"/>
        <v>G2</v>
      </c>
      <c r="R8" s="3" t="str">
        <f t="shared" si="14"/>
        <v>G2</v>
      </c>
      <c r="S8" s="3" t="str">
        <f t="shared" si="15"/>
        <v>G2</v>
      </c>
      <c r="T8" s="3" t="str">
        <f t="shared" si="16"/>
        <v>G2</v>
      </c>
      <c r="U8" s="4" t="str">
        <f t="array" ref="U8">IF(COUNTIF($P$2:$P$23,P8)=1,P8,IFERROR(INDEX($U$2:U7,MATCH(1,($P$2:P7=P8)*($Q$2:Q7=Q8)*($R$2:R7=R8)*($S$2:S7=S8)*($T$2:T7=T8),0)),"G12"))</f>
        <v>G2</v>
      </c>
      <c r="V8" s="3" t="str">
        <f t="shared" si="17"/>
        <v>G2</v>
      </c>
      <c r="W8" s="3" t="str">
        <f t="shared" si="18"/>
        <v>G2</v>
      </c>
      <c r="X8" s="3" t="str">
        <f t="shared" si="19"/>
        <v>G2</v>
      </c>
      <c r="Y8" s="3" t="str">
        <f t="shared" si="20"/>
        <v>G2</v>
      </c>
      <c r="Z8" s="4" t="s">
        <v>28</v>
      </c>
      <c r="AA8" s="3" t="str">
        <f t="shared" si="21"/>
        <v>G2</v>
      </c>
      <c r="AB8" s="3" t="str">
        <f t="shared" si="22"/>
        <v>G2</v>
      </c>
      <c r="AC8" s="3" t="str">
        <f t="shared" si="23"/>
        <v>G2</v>
      </c>
      <c r="AD8" s="3" t="str">
        <f t="shared" si="24"/>
        <v>G2</v>
      </c>
      <c r="AE8" s="4" t="s">
        <v>28</v>
      </c>
    </row>
    <row r="9" spans="1:31" s="3" customFormat="1" x14ac:dyDescent="0.25">
      <c r="A9" s="3" t="s">
        <v>12</v>
      </c>
      <c r="B9" s="3" t="s">
        <v>11</v>
      </c>
      <c r="C9" s="3" t="s">
        <v>19</v>
      </c>
      <c r="D9" s="3" t="s">
        <v>11</v>
      </c>
      <c r="E9" s="3" t="s">
        <v>13</v>
      </c>
      <c r="F9" s="4" t="s">
        <v>29</v>
      </c>
      <c r="G9" s="3" t="str">
        <f t="shared" si="5"/>
        <v>G1</v>
      </c>
      <c r="H9" s="3" t="str">
        <f t="shared" si="6"/>
        <v>G2</v>
      </c>
      <c r="I9" s="3" t="str">
        <f t="shared" si="7"/>
        <v>G1</v>
      </c>
      <c r="J9" s="3" t="str">
        <f t="shared" si="8"/>
        <v>G1</v>
      </c>
      <c r="K9" s="4" t="s">
        <v>32</v>
      </c>
      <c r="L9" s="3" t="str">
        <f t="shared" si="9"/>
        <v>G2</v>
      </c>
      <c r="M9" s="3" t="str">
        <f t="shared" si="10"/>
        <v>G6</v>
      </c>
      <c r="N9" s="3" t="str">
        <f t="shared" si="11"/>
        <v>G2</v>
      </c>
      <c r="O9" s="3" t="str">
        <f t="shared" si="12"/>
        <v>G5</v>
      </c>
      <c r="P9" s="5" t="str">
        <f t="shared" ref="P9:P23" si="27">IF(COUNTIF($K$2:$K$23,K9)=1,K9,"")</f>
        <v>G4</v>
      </c>
      <c r="Q9" s="3" t="str">
        <f t="shared" si="13"/>
        <v>G2</v>
      </c>
      <c r="R9" s="3" t="str">
        <f t="shared" si="14"/>
        <v>G6</v>
      </c>
      <c r="S9" s="3" t="str">
        <f t="shared" si="15"/>
        <v>G2</v>
      </c>
      <c r="T9" s="3" t="str">
        <f t="shared" si="16"/>
        <v>G5</v>
      </c>
      <c r="U9" s="5" t="str">
        <f t="array" ref="U9">IF(COUNTIF($P$2:$P$23,P9)=1,P9,IFERROR(INDEX($U$2:U8,MATCH(1,($P$2:P8=P9)*($Q$2:Q8=Q9)*($R$2:R8=R9)*($S$2:S8=S9)*($T$2:T8=T9),0)),"G12"))</f>
        <v>G4</v>
      </c>
      <c r="V9" s="3" t="str">
        <f t="shared" si="17"/>
        <v>G2</v>
      </c>
      <c r="W9" s="3" t="str">
        <f t="shared" si="18"/>
        <v>G6</v>
      </c>
      <c r="X9" s="3" t="str">
        <f t="shared" si="19"/>
        <v>G2</v>
      </c>
      <c r="Y9" s="3" t="str">
        <f t="shared" si="20"/>
        <v>G5</v>
      </c>
      <c r="Z9" s="5" t="str">
        <f>U9</f>
        <v>G4</v>
      </c>
      <c r="AA9" s="3" t="str">
        <f t="shared" si="21"/>
        <v>G2</v>
      </c>
      <c r="AB9" s="3" t="str">
        <f t="shared" si="22"/>
        <v>G6</v>
      </c>
      <c r="AC9" s="3" t="str">
        <f t="shared" si="23"/>
        <v>G2</v>
      </c>
      <c r="AD9" s="3" t="str">
        <f t="shared" si="24"/>
        <v>G5</v>
      </c>
      <c r="AE9" s="4" t="str">
        <f>Z9</f>
        <v>G4</v>
      </c>
    </row>
    <row r="10" spans="1:31" s="3" customFormat="1" x14ac:dyDescent="0.25">
      <c r="A10" s="3" t="s">
        <v>13</v>
      </c>
      <c r="B10" s="3" t="s">
        <v>11</v>
      </c>
      <c r="C10" s="3" t="s">
        <v>11</v>
      </c>
      <c r="D10" s="3" t="s">
        <v>11</v>
      </c>
      <c r="E10" s="3" t="s">
        <v>19</v>
      </c>
      <c r="F10" s="4" t="s">
        <v>29</v>
      </c>
      <c r="G10" s="3" t="str">
        <f t="shared" si="5"/>
        <v>G1</v>
      </c>
      <c r="H10" s="3" t="str">
        <f t="shared" si="6"/>
        <v>G1</v>
      </c>
      <c r="I10" s="3" t="str">
        <f t="shared" si="7"/>
        <v>G1</v>
      </c>
      <c r="J10" s="3" t="str">
        <f t="shared" si="8"/>
        <v>G2</v>
      </c>
      <c r="K10" s="4" t="s">
        <v>33</v>
      </c>
      <c r="L10" s="3" t="str">
        <f t="shared" si="9"/>
        <v>G2</v>
      </c>
      <c r="M10" s="3" t="str">
        <f t="shared" si="10"/>
        <v>G2</v>
      </c>
      <c r="N10" s="3" t="str">
        <f t="shared" si="11"/>
        <v>G2</v>
      </c>
      <c r="O10" s="3" t="str">
        <f t="shared" si="12"/>
        <v>G6</v>
      </c>
      <c r="P10" s="5" t="str">
        <f t="shared" si="27"/>
        <v>G5</v>
      </c>
      <c r="Q10" s="3" t="str">
        <f t="shared" si="13"/>
        <v>G2</v>
      </c>
      <c r="R10" s="3" t="str">
        <f t="shared" si="14"/>
        <v>G2</v>
      </c>
      <c r="S10" s="3" t="str">
        <f t="shared" si="15"/>
        <v>G2</v>
      </c>
      <c r="T10" s="3" t="str">
        <f t="shared" si="16"/>
        <v>G6</v>
      </c>
      <c r="U10" s="5" t="str">
        <f t="array" ref="U10">IF(COUNTIF($P$2:$P$23,P10)=1,P10,IFERROR(INDEX($U$2:U9,MATCH(1,($P$2:P9=P10)*($Q$2:Q9=Q10)*($R$2:R9=R10)*($S$2:S9=S10)*($T$2:T9=T10),0)),"G12"))</f>
        <v>G5</v>
      </c>
      <c r="V10" s="3" t="str">
        <f t="shared" si="17"/>
        <v>G2</v>
      </c>
      <c r="W10" s="3" t="str">
        <f t="shared" si="18"/>
        <v>G2</v>
      </c>
      <c r="X10" s="3" t="str">
        <f t="shared" si="19"/>
        <v>G2</v>
      </c>
      <c r="Y10" s="3" t="str">
        <f t="shared" si="20"/>
        <v>G6</v>
      </c>
      <c r="Z10" s="5" t="str">
        <f t="shared" ref="Z10:Z11" si="28">U10</f>
        <v>G5</v>
      </c>
      <c r="AA10" s="3" t="str">
        <f t="shared" si="21"/>
        <v>G2</v>
      </c>
      <c r="AB10" s="3" t="str">
        <f t="shared" si="22"/>
        <v>G2</v>
      </c>
      <c r="AC10" s="3" t="str">
        <f t="shared" si="23"/>
        <v>G2</v>
      </c>
      <c r="AD10" s="3" t="str">
        <f t="shared" si="24"/>
        <v>G6</v>
      </c>
      <c r="AE10" s="4" t="str">
        <f t="shared" ref="AE10:AE11" si="29">Z10</f>
        <v>G5</v>
      </c>
    </row>
    <row r="11" spans="1:31" s="3" customFormat="1" x14ac:dyDescent="0.25">
      <c r="A11" s="3" t="s">
        <v>14</v>
      </c>
      <c r="B11" s="3" t="s">
        <v>11</v>
      </c>
      <c r="C11" s="3" t="s">
        <v>14</v>
      </c>
      <c r="D11" s="3" t="s">
        <v>11</v>
      </c>
      <c r="E11" s="3" t="s">
        <v>13</v>
      </c>
      <c r="F11" s="4" t="s">
        <v>29</v>
      </c>
      <c r="G11" s="3" t="str">
        <f t="shared" si="5"/>
        <v>G1</v>
      </c>
      <c r="H11" s="3" t="str">
        <f t="shared" si="6"/>
        <v>G1</v>
      </c>
      <c r="I11" s="3" t="str">
        <f t="shared" si="7"/>
        <v>G1</v>
      </c>
      <c r="J11" s="3" t="str">
        <f t="shared" si="8"/>
        <v>G1</v>
      </c>
      <c r="K11" s="4" t="str">
        <f t="array" ref="K11">INDEX($K$2:K10,MATCH(1,($F$2:F10=F11)*($G$2:G10=G11)*($H$2:H10=H11)*($I$2:I10=I11)*($J$2:J10=J11),0))</f>
        <v>G2</v>
      </c>
      <c r="L11" s="3" t="str">
        <f t="shared" si="9"/>
        <v>G2</v>
      </c>
      <c r="M11" s="3" t="str">
        <f t="shared" si="10"/>
        <v>G2</v>
      </c>
      <c r="N11" s="3" t="str">
        <f t="shared" si="11"/>
        <v>G2</v>
      </c>
      <c r="O11" s="3" t="str">
        <f t="shared" si="12"/>
        <v>G5</v>
      </c>
      <c r="P11" s="4" t="str">
        <f t="array" ref="P11">IFERROR(INDEX($P$2:P10,MATCH(1,($K$2:K10=K11)*($L$2:L10=L11)*($M$2:M10=M11)*($N$2:N10=N11)*($O$2:O10=O11),0)),"G9")</f>
        <v>G9</v>
      </c>
      <c r="Q11" s="3" t="str">
        <f t="shared" si="13"/>
        <v>G2</v>
      </c>
      <c r="R11" s="3" t="str">
        <f t="shared" si="14"/>
        <v>G9</v>
      </c>
      <c r="S11" s="3" t="str">
        <f t="shared" si="15"/>
        <v>G2</v>
      </c>
      <c r="T11" s="3" t="str">
        <f t="shared" si="16"/>
        <v>G5</v>
      </c>
      <c r="U11" s="5" t="str">
        <f t="array" ref="U11">IF(COUNTIF($P$2:$P$23,P11)=1,P11,IFERROR(INDEX($U$2:U10,MATCH(1,($P$2:P10=P11)*($Q$2:Q10=Q11)*($R$2:R10=R11)*($S$2:S10=S11)*($T$2:T10=T11),0)),"G12"))</f>
        <v>G12</v>
      </c>
      <c r="V11" s="3" t="str">
        <f t="shared" si="17"/>
        <v>G2</v>
      </c>
      <c r="W11" s="3" t="str">
        <f t="shared" si="18"/>
        <v>G12</v>
      </c>
      <c r="X11" s="3" t="str">
        <f t="shared" si="19"/>
        <v>G2</v>
      </c>
      <c r="Y11" s="3" t="str">
        <f t="shared" si="20"/>
        <v>G5</v>
      </c>
      <c r="Z11" s="5" t="str">
        <f t="shared" si="28"/>
        <v>G12</v>
      </c>
      <c r="AA11" s="3" t="str">
        <f t="shared" si="21"/>
        <v>G2</v>
      </c>
      <c r="AB11" s="3" t="str">
        <f t="shared" si="22"/>
        <v>G12</v>
      </c>
      <c r="AC11" s="3" t="str">
        <f t="shared" si="23"/>
        <v>G2</v>
      </c>
      <c r="AD11" s="3" t="str">
        <f t="shared" si="24"/>
        <v>G5</v>
      </c>
      <c r="AE11" s="4" t="str">
        <f t="shared" si="29"/>
        <v>G12</v>
      </c>
    </row>
    <row r="12" spans="1:31" s="3" customFormat="1" x14ac:dyDescent="0.25">
      <c r="A12" s="3" t="s">
        <v>15</v>
      </c>
      <c r="B12" s="3" t="s">
        <v>11</v>
      </c>
      <c r="C12" s="3" t="s">
        <v>11</v>
      </c>
      <c r="D12" s="3" t="s">
        <v>11</v>
      </c>
      <c r="E12" s="3" t="s">
        <v>9</v>
      </c>
      <c r="F12" s="4" t="s">
        <v>28</v>
      </c>
      <c r="G12" s="3" t="str">
        <f t="shared" si="5"/>
        <v>G1</v>
      </c>
      <c r="H12" s="3" t="str">
        <f t="shared" si="6"/>
        <v>G1</v>
      </c>
      <c r="I12" s="3" t="str">
        <f t="shared" si="7"/>
        <v>G1</v>
      </c>
      <c r="J12" s="3" t="str">
        <f t="shared" si="8"/>
        <v>G2</v>
      </c>
      <c r="K12" s="4" t="str">
        <f t="array" ref="K12">INDEX($K$2:K11,MATCH(1,($F$2:F11=F12)*($G$2:G11=G12)*($H$2:H11=H12)*($I$2:I11=I12)*($J$2:J11=J12),0))</f>
        <v>G3</v>
      </c>
      <c r="L12" s="3" t="str">
        <f t="shared" si="9"/>
        <v>G2</v>
      </c>
      <c r="M12" s="3" t="str">
        <f t="shared" si="10"/>
        <v>G2</v>
      </c>
      <c r="N12" s="3" t="str">
        <f t="shared" si="11"/>
        <v>G2</v>
      </c>
      <c r="O12" s="3" t="str">
        <f t="shared" si="12"/>
        <v>G3</v>
      </c>
      <c r="P12" s="4" t="str">
        <f t="array" ref="P12">IFERROR(INDEX($P$2:P11,MATCH(1,($K$2:K11=K12)*($L$2:L11=L12)*($M$2:M11=M12)*($N$2:N11=N12)*($O$2:O11=O12),0)),"G10")</f>
        <v>G8</v>
      </c>
      <c r="Q12" s="3" t="str">
        <f t="shared" si="13"/>
        <v>G2</v>
      </c>
      <c r="R12" s="3" t="str">
        <f t="shared" si="14"/>
        <v>G2</v>
      </c>
      <c r="S12" s="3" t="str">
        <f t="shared" si="15"/>
        <v>G2</v>
      </c>
      <c r="T12" s="3" t="str">
        <f t="shared" si="16"/>
        <v>G8</v>
      </c>
      <c r="U12" s="4" t="str">
        <f t="array" ref="U12">IF(COUNTIF($P$2:$P$23,P12)=1,P12,IFERROR(INDEX($U$2:U11,MATCH(1,($P$2:P11=P12)*($Q$2:Q11=Q12)*($R$2:R11=R12)*($S$2:S11=S12)*($T$2:T11=T12),0)),"G13"))</f>
        <v>G9</v>
      </c>
      <c r="V12" s="3" t="str">
        <f t="shared" si="17"/>
        <v>G2</v>
      </c>
      <c r="W12" s="3" t="str">
        <f t="shared" si="18"/>
        <v>G2</v>
      </c>
      <c r="X12" s="3" t="str">
        <f t="shared" si="19"/>
        <v>G2</v>
      </c>
      <c r="Y12" s="3" t="str">
        <f t="shared" si="20"/>
        <v>G9</v>
      </c>
      <c r="Z12" s="4" t="str">
        <f>U12</f>
        <v>G9</v>
      </c>
      <c r="AA12" s="3" t="str">
        <f t="shared" si="21"/>
        <v>G2</v>
      </c>
      <c r="AB12" s="3" t="str">
        <f t="shared" si="22"/>
        <v>G2</v>
      </c>
      <c r="AC12" s="3" t="str">
        <f t="shared" si="23"/>
        <v>G2</v>
      </c>
      <c r="AD12" s="3" t="str">
        <f t="shared" si="24"/>
        <v>G9</v>
      </c>
      <c r="AE12" s="4" t="s">
        <v>43</v>
      </c>
    </row>
    <row r="13" spans="1:31" s="3" customFormat="1" x14ac:dyDescent="0.25">
      <c r="A13" s="3" t="s">
        <v>16</v>
      </c>
      <c r="B13" s="3" t="s">
        <v>20</v>
      </c>
      <c r="C13" s="3" t="s">
        <v>14</v>
      </c>
      <c r="D13" s="3" t="s">
        <v>21</v>
      </c>
      <c r="E13" s="3" t="s">
        <v>13</v>
      </c>
      <c r="F13" s="4" t="s">
        <v>29</v>
      </c>
      <c r="G13" s="3" t="str">
        <f t="shared" si="5"/>
        <v>G1</v>
      </c>
      <c r="H13" s="3" t="str">
        <f t="shared" si="6"/>
        <v>G1</v>
      </c>
      <c r="I13" s="3" t="str">
        <f t="shared" si="7"/>
        <v>G1</v>
      </c>
      <c r="J13" s="3" t="str">
        <f t="shared" si="8"/>
        <v>G1</v>
      </c>
      <c r="K13" s="4" t="str">
        <f t="array" ref="K13">INDEX($K$2:K12,MATCH(1,($F$2:F12=F13)*($G$2:G12=G13)*($H$2:H12=H13)*($I$2:I12=I13)*($J$2:J12=J13),0))</f>
        <v>G2</v>
      </c>
      <c r="L13" s="3" t="str">
        <f t="shared" si="9"/>
        <v>G2</v>
      </c>
      <c r="M13" s="3" t="str">
        <f t="shared" si="10"/>
        <v>G2</v>
      </c>
      <c r="N13" s="3" t="str">
        <f t="shared" si="11"/>
        <v>G2</v>
      </c>
      <c r="O13" s="3" t="str">
        <f t="shared" si="12"/>
        <v>G5</v>
      </c>
      <c r="P13" s="4" t="str">
        <f t="array" ref="P13">IFERROR(INDEX($P$2:P12,MATCH(1,($K$2:K12=K13)*($L$2:L12=L13)*($M$2:M12=M13)*($N$2:N12=N13)*($O$2:O12=O13),0)),"G10")</f>
        <v>G9</v>
      </c>
      <c r="Q13" s="3" t="str">
        <f t="shared" si="13"/>
        <v>G10</v>
      </c>
      <c r="R13" s="3" t="str">
        <f t="shared" si="14"/>
        <v>G9</v>
      </c>
      <c r="S13" s="3" t="str">
        <f t="shared" si="15"/>
        <v>G9</v>
      </c>
      <c r="T13" s="3" t="str">
        <f t="shared" si="16"/>
        <v>G5</v>
      </c>
      <c r="U13" s="5" t="str">
        <f t="array" ref="U13">IF(COUNTIF($P$2:$P$23,P13)=1,P13,IFERROR(INDEX($U$2:U12,MATCH(1,($P$2:P12=P13)*($Q$2:Q12=Q13)*($R$2:R12=R13)*($S$2:S12=S13)*($T$2:T12=T13),0)),"G13"))</f>
        <v>G13</v>
      </c>
      <c r="V13" s="3" t="str">
        <f t="shared" si="17"/>
        <v>G10</v>
      </c>
      <c r="W13" s="3" t="str">
        <f t="shared" si="18"/>
        <v>G12</v>
      </c>
      <c r="X13" s="3" t="str">
        <f t="shared" si="19"/>
        <v>G14</v>
      </c>
      <c r="Y13" s="3" t="str">
        <f t="shared" si="20"/>
        <v>G5</v>
      </c>
      <c r="Z13" s="5" t="str">
        <f>U13</f>
        <v>G13</v>
      </c>
      <c r="AA13" s="3" t="str">
        <f t="shared" si="21"/>
        <v>G10</v>
      </c>
      <c r="AB13" s="3" t="str">
        <f t="shared" si="22"/>
        <v>G12</v>
      </c>
      <c r="AC13" s="3" t="str">
        <f t="shared" si="23"/>
        <v>G14</v>
      </c>
      <c r="AD13" s="3" t="str">
        <f t="shared" si="24"/>
        <v>G5</v>
      </c>
      <c r="AE13" s="4" t="s">
        <v>42</v>
      </c>
    </row>
    <row r="14" spans="1:31" s="3" customFormat="1" x14ac:dyDescent="0.25">
      <c r="A14" s="3" t="s">
        <v>17</v>
      </c>
      <c r="B14" s="3" t="s">
        <v>11</v>
      </c>
      <c r="C14" s="3" t="s">
        <v>22</v>
      </c>
      <c r="D14" s="3" t="s">
        <v>11</v>
      </c>
      <c r="E14" s="3" t="s">
        <v>11</v>
      </c>
      <c r="F14" s="4" t="s">
        <v>29</v>
      </c>
      <c r="G14" s="3" t="str">
        <f t="shared" si="5"/>
        <v>G1</v>
      </c>
      <c r="H14" s="3" t="str">
        <f t="shared" si="6"/>
        <v>G1</v>
      </c>
      <c r="I14" s="3" t="str">
        <f t="shared" si="7"/>
        <v>G1</v>
      </c>
      <c r="J14" s="3" t="str">
        <f t="shared" si="8"/>
        <v>G1</v>
      </c>
      <c r="K14" s="4" t="str">
        <f t="array" ref="K14">INDEX($K$2:K13,MATCH(1,($F$2:F13=F14)*($G$2:G13=G14)*($H$2:H13=H14)*($I$2:I13=I14)*($J$2:J13=J14),0))</f>
        <v>G2</v>
      </c>
      <c r="L14" s="3" t="str">
        <f t="shared" si="9"/>
        <v>G2</v>
      </c>
      <c r="M14" s="3" t="str">
        <f t="shared" si="10"/>
        <v>G2</v>
      </c>
      <c r="N14" s="3" t="str">
        <f t="shared" si="11"/>
        <v>G2</v>
      </c>
      <c r="O14" s="3" t="str">
        <f t="shared" si="12"/>
        <v>G2</v>
      </c>
      <c r="P14" s="4" t="str">
        <f t="array" ref="P14">IFERROR(INDEX($P$2:P13,MATCH(1,($K$2:K13=K14)*($L$2:L13=L14)*($M$2:M13=M14)*($N$2:N13=N14)*($O$2:O13=O14),0)),"G10")</f>
        <v>G2</v>
      </c>
      <c r="Q14" s="3" t="str">
        <f t="shared" si="13"/>
        <v>G2</v>
      </c>
      <c r="R14" s="3" t="str">
        <f t="shared" si="14"/>
        <v>G2</v>
      </c>
      <c r="S14" s="3" t="str">
        <f t="shared" si="15"/>
        <v>G2</v>
      </c>
      <c r="T14" s="3" t="str">
        <f t="shared" si="16"/>
        <v>G2</v>
      </c>
      <c r="U14" s="4" t="str">
        <f t="array" ref="U14">IF(COUNTIF($P$2:$P$23,P14)=1,P14,IFERROR(INDEX($U$2:U13,MATCH(1,($P$2:P13=P14)*($Q$2:Q13=Q14)*($R$2:R13=R14)*($S$2:S13=S14)*($T$2:T13=T14),0)),"G14"))</f>
        <v>G2</v>
      </c>
      <c r="V14" s="3" t="str">
        <f t="shared" si="17"/>
        <v>G2</v>
      </c>
      <c r="W14" s="3" t="str">
        <f t="shared" si="18"/>
        <v>G2</v>
      </c>
      <c r="X14" s="3" t="str">
        <f t="shared" si="19"/>
        <v>G2</v>
      </c>
      <c r="Y14" s="3" t="str">
        <f t="shared" si="20"/>
        <v>G2</v>
      </c>
      <c r="Z14" s="4" t="s">
        <v>28</v>
      </c>
      <c r="AA14" s="3" t="str">
        <f t="shared" si="21"/>
        <v>G2</v>
      </c>
      <c r="AB14" s="3" t="str">
        <f t="shared" si="22"/>
        <v>G2</v>
      </c>
      <c r="AC14" s="3" t="str">
        <f t="shared" si="23"/>
        <v>G2</v>
      </c>
      <c r="AD14" s="3" t="str">
        <f t="shared" si="24"/>
        <v>G2</v>
      </c>
      <c r="AE14" s="4" t="s">
        <v>28</v>
      </c>
    </row>
    <row r="15" spans="1:31" s="3" customFormat="1" x14ac:dyDescent="0.25">
      <c r="A15" s="3" t="s">
        <v>18</v>
      </c>
      <c r="B15" s="3" t="s">
        <v>11</v>
      </c>
      <c r="C15" s="3" t="s">
        <v>11</v>
      </c>
      <c r="D15" s="3" t="s">
        <v>11</v>
      </c>
      <c r="E15" s="3" t="s">
        <v>18</v>
      </c>
      <c r="F15" s="4" t="s">
        <v>29</v>
      </c>
      <c r="G15" s="3" t="str">
        <f t="shared" si="5"/>
        <v>G1</v>
      </c>
      <c r="H15" s="3" t="str">
        <f t="shared" si="6"/>
        <v>G1</v>
      </c>
      <c r="I15" s="3" t="str">
        <f t="shared" si="7"/>
        <v>G1</v>
      </c>
      <c r="J15" s="3" t="str">
        <f t="shared" si="8"/>
        <v>G1</v>
      </c>
      <c r="K15" s="4" t="str">
        <f t="array" ref="K15">INDEX($K$2:K14,MATCH(1,($F$2:F14=F15)*($G$2:G14=G15)*($H$2:H14=H15)*($I$2:I14=I15)*($J$2:J14=J15),0))</f>
        <v>G2</v>
      </c>
      <c r="L15" s="3" t="str">
        <f t="shared" si="9"/>
        <v>G2</v>
      </c>
      <c r="M15" s="3" t="str">
        <f t="shared" si="10"/>
        <v>G2</v>
      </c>
      <c r="N15" s="3" t="str">
        <f t="shared" si="11"/>
        <v>G2</v>
      </c>
      <c r="O15" s="3" t="str">
        <f t="shared" si="12"/>
        <v>G2</v>
      </c>
      <c r="P15" s="4" t="str">
        <f t="array" ref="P15">IFERROR(INDEX($P$2:P14,MATCH(1,($K$2:K14=K15)*($L$2:L14=L15)*($M$2:M14=M15)*($N$2:N14=N15)*($O$2:O14=O15),0)),"G10")</f>
        <v>G2</v>
      </c>
      <c r="Q15" s="3" t="str">
        <f t="shared" si="13"/>
        <v>G2</v>
      </c>
      <c r="R15" s="3" t="str">
        <f t="shared" si="14"/>
        <v>G2</v>
      </c>
      <c r="S15" s="3" t="str">
        <f t="shared" si="15"/>
        <v>G2</v>
      </c>
      <c r="T15" s="3" t="str">
        <f t="shared" si="16"/>
        <v>G2</v>
      </c>
      <c r="U15" s="4" t="str">
        <f t="array" ref="U15">IF(COUNTIF($P$2:$P$23,P15)=1,P15,IFERROR(INDEX($U$2:U14,MATCH(1,($P$2:P14=P15)*($Q$2:Q14=Q15)*($R$2:R14=R15)*($S$2:S14=S15)*($T$2:T14=T15),0)),"G14"))</f>
        <v>G2</v>
      </c>
      <c r="V15" s="3" t="str">
        <f t="shared" si="17"/>
        <v>G2</v>
      </c>
      <c r="W15" s="3" t="str">
        <f t="shared" si="18"/>
        <v>G2</v>
      </c>
      <c r="X15" s="3" t="str">
        <f t="shared" si="19"/>
        <v>G2</v>
      </c>
      <c r="Y15" s="3" t="str">
        <f t="shared" si="20"/>
        <v>G2</v>
      </c>
      <c r="Z15" s="4" t="s">
        <v>28</v>
      </c>
      <c r="AA15" s="3" t="str">
        <f t="shared" si="21"/>
        <v>G2</v>
      </c>
      <c r="AB15" s="3" t="str">
        <f t="shared" si="22"/>
        <v>G2</v>
      </c>
      <c r="AC15" s="3" t="str">
        <f t="shared" si="23"/>
        <v>G2</v>
      </c>
      <c r="AD15" s="3" t="str">
        <f t="shared" si="24"/>
        <v>G2</v>
      </c>
      <c r="AE15" s="4" t="s">
        <v>28</v>
      </c>
    </row>
    <row r="16" spans="1:31" s="3" customFormat="1" x14ac:dyDescent="0.25">
      <c r="A16" s="3" t="s">
        <v>19</v>
      </c>
      <c r="B16" s="3" t="s">
        <v>11</v>
      </c>
      <c r="C16" s="3" t="s">
        <v>11</v>
      </c>
      <c r="D16" s="3" t="s">
        <v>11</v>
      </c>
      <c r="E16" s="3" t="s">
        <v>13</v>
      </c>
      <c r="F16" s="4" t="s">
        <v>28</v>
      </c>
      <c r="G16" s="3" t="str">
        <f t="shared" si="5"/>
        <v>G1</v>
      </c>
      <c r="H16" s="3" t="str">
        <f t="shared" si="6"/>
        <v>G1</v>
      </c>
      <c r="I16" s="3" t="str">
        <f t="shared" si="7"/>
        <v>G1</v>
      </c>
      <c r="J16" s="3" t="str">
        <f t="shared" si="8"/>
        <v>G1</v>
      </c>
      <c r="K16" s="4" t="s">
        <v>34</v>
      </c>
      <c r="L16" s="3" t="str">
        <f t="shared" si="9"/>
        <v>G2</v>
      </c>
      <c r="M16" s="3" t="str">
        <f t="shared" si="10"/>
        <v>G2</v>
      </c>
      <c r="N16" s="3" t="str">
        <f t="shared" si="11"/>
        <v>G2</v>
      </c>
      <c r="O16" s="3" t="str">
        <f t="shared" si="12"/>
        <v>G5</v>
      </c>
      <c r="P16" s="5" t="str">
        <f t="shared" si="27"/>
        <v>G6</v>
      </c>
      <c r="Q16" s="3" t="str">
        <f t="shared" si="13"/>
        <v>G2</v>
      </c>
      <c r="R16" s="3" t="str">
        <f t="shared" si="14"/>
        <v>G2</v>
      </c>
      <c r="S16" s="3" t="str">
        <f t="shared" si="15"/>
        <v>G2</v>
      </c>
      <c r="T16" s="3" t="str">
        <f t="shared" si="16"/>
        <v>G5</v>
      </c>
      <c r="U16" s="5" t="str">
        <f t="array" ref="U16">IF(COUNTIF($P$2:$P$23,P16)=1,P16,IFERROR(INDEX($U$2:U15,MATCH(1,($P$2:P15=P16)*($Q$2:Q15=Q16)*($R$2:R15=R16)*($S$2:S15=S16)*($T$2:T15=T16),0)),"G14"))</f>
        <v>G6</v>
      </c>
      <c r="V16" s="3" t="str">
        <f t="shared" si="17"/>
        <v>G2</v>
      </c>
      <c r="W16" s="3" t="str">
        <f t="shared" si="18"/>
        <v>G2</v>
      </c>
      <c r="X16" s="3" t="str">
        <f t="shared" si="19"/>
        <v>G2</v>
      </c>
      <c r="Y16" s="3" t="str">
        <f t="shared" si="20"/>
        <v>G5</v>
      </c>
      <c r="Z16" s="5" t="str">
        <f>U16</f>
        <v>G6</v>
      </c>
      <c r="AA16" s="3" t="str">
        <f t="shared" si="21"/>
        <v>G2</v>
      </c>
      <c r="AB16" s="3" t="str">
        <f t="shared" si="22"/>
        <v>G2</v>
      </c>
      <c r="AC16" s="3" t="str">
        <f t="shared" si="23"/>
        <v>G2</v>
      </c>
      <c r="AD16" s="3" t="str">
        <f t="shared" si="24"/>
        <v>G5</v>
      </c>
      <c r="AE16" s="4" t="str">
        <f>Z16</f>
        <v>G6</v>
      </c>
    </row>
    <row r="17" spans="1:31" s="3" customFormat="1" x14ac:dyDescent="0.25">
      <c r="A17" s="3" t="s">
        <v>20</v>
      </c>
      <c r="B17" s="3" t="s">
        <v>23</v>
      </c>
      <c r="C17" s="3" t="s">
        <v>24</v>
      </c>
      <c r="D17" s="3" t="s">
        <v>18</v>
      </c>
      <c r="E17" s="3" t="s">
        <v>18</v>
      </c>
      <c r="F17" s="4" t="s">
        <v>29</v>
      </c>
      <c r="G17" s="3" t="str">
        <f t="shared" si="5"/>
        <v>G1</v>
      </c>
      <c r="H17" s="3" t="str">
        <f t="shared" si="6"/>
        <v>G1</v>
      </c>
      <c r="I17" s="3" t="str">
        <f t="shared" si="7"/>
        <v>G1</v>
      </c>
      <c r="J17" s="3" t="str">
        <f t="shared" si="8"/>
        <v>G1</v>
      </c>
      <c r="K17" s="4" t="str">
        <f t="array" ref="K17">INDEX($K$2:K16,MATCH(1,($F$2:F16=F17)*($G$2:G16=G17)*($H$2:H16=H17)*($I$2:I16=I17)*($J$2:J16=J17),0))</f>
        <v>G2</v>
      </c>
      <c r="L17" s="3" t="str">
        <f t="shared" si="9"/>
        <v>G7</v>
      </c>
      <c r="M17" s="3" t="str">
        <f t="shared" si="10"/>
        <v>G2</v>
      </c>
      <c r="N17" s="3" t="str">
        <f t="shared" si="11"/>
        <v>G2</v>
      </c>
      <c r="O17" s="3" t="str">
        <f t="shared" si="12"/>
        <v>G2</v>
      </c>
      <c r="P17" s="5" t="str">
        <f t="array" ref="P17">IFERROR(INDEX($P$2:P16,MATCH(1,($K$2:K16=K17)*($L$2:L16=L17)*($M$2:M16=M17)*($N$2:N16=N17)*($O$2:O16=O17),0)),"G10")</f>
        <v>G10</v>
      </c>
      <c r="Q17" s="3" t="str">
        <f t="shared" si="13"/>
        <v>G7</v>
      </c>
      <c r="R17" s="3" t="str">
        <f t="shared" si="14"/>
        <v>G2</v>
      </c>
      <c r="S17" s="3" t="str">
        <f t="shared" si="15"/>
        <v>G2</v>
      </c>
      <c r="T17" s="3" t="str">
        <f t="shared" si="16"/>
        <v>G2</v>
      </c>
      <c r="U17" s="5" t="str">
        <f t="array" ref="U17">IF(COUNTIF($P$2:$P$23,P17)=1,P17,IFERROR(INDEX($U$2:U16,MATCH(1,($P$2:P16=P17)*($Q$2:Q16=Q17)*($R$2:R16=R17)*($S$2:S16=S17)*($T$2:T16=T17),0)),"G14"))</f>
        <v>G10</v>
      </c>
      <c r="V17" s="3" t="str">
        <f t="shared" si="17"/>
        <v>G7</v>
      </c>
      <c r="W17" s="3" t="str">
        <f t="shared" si="18"/>
        <v>G2</v>
      </c>
      <c r="X17" s="3" t="str">
        <f t="shared" si="19"/>
        <v>G2</v>
      </c>
      <c r="Y17" s="3" t="str">
        <f t="shared" si="20"/>
        <v>G2</v>
      </c>
      <c r="Z17" s="5" t="str">
        <f t="shared" ref="Z17:Z18" si="30">U17</f>
        <v>G10</v>
      </c>
      <c r="AA17" s="3" t="str">
        <f t="shared" si="21"/>
        <v>G7</v>
      </c>
      <c r="AB17" s="3" t="str">
        <f t="shared" si="22"/>
        <v>G2</v>
      </c>
      <c r="AC17" s="3" t="str">
        <f t="shared" si="23"/>
        <v>G2</v>
      </c>
      <c r="AD17" s="3" t="str">
        <f t="shared" si="24"/>
        <v>G2</v>
      </c>
      <c r="AE17" s="4" t="str">
        <f t="shared" ref="AE17:AE18" si="31">Z17</f>
        <v>G10</v>
      </c>
    </row>
    <row r="18" spans="1:31" s="3" customFormat="1" x14ac:dyDescent="0.25">
      <c r="A18" s="3" t="s">
        <v>21</v>
      </c>
      <c r="B18" s="3" t="s">
        <v>11</v>
      </c>
      <c r="C18" s="3" t="s">
        <v>14</v>
      </c>
      <c r="D18" s="3" t="s">
        <v>21</v>
      </c>
      <c r="E18" s="3" t="s">
        <v>13</v>
      </c>
      <c r="F18" s="4" t="s">
        <v>29</v>
      </c>
      <c r="G18" s="3" t="str">
        <f t="shared" si="5"/>
        <v>G1</v>
      </c>
      <c r="H18" s="3" t="str">
        <f t="shared" si="6"/>
        <v>G1</v>
      </c>
      <c r="I18" s="3" t="str">
        <f t="shared" si="7"/>
        <v>G1</v>
      </c>
      <c r="J18" s="3" t="str">
        <f t="shared" si="8"/>
        <v>G1</v>
      </c>
      <c r="K18" s="4" t="str">
        <f t="array" ref="K18">INDEX($K$2:K17,MATCH(1,($F$2:F17=F18)*($G$2:G17=G18)*($H$2:H17=H18)*($I$2:I17=I18)*($J$2:J17=J18),0))</f>
        <v>G2</v>
      </c>
      <c r="L18" s="3" t="str">
        <f t="shared" si="9"/>
        <v>G2</v>
      </c>
      <c r="M18" s="3" t="str">
        <f t="shared" si="10"/>
        <v>G2</v>
      </c>
      <c r="N18" s="3" t="str">
        <f t="shared" si="11"/>
        <v>G2</v>
      </c>
      <c r="O18" s="3" t="str">
        <f t="shared" si="12"/>
        <v>G5</v>
      </c>
      <c r="P18" s="4" t="str">
        <f t="array" ref="P18">IFERROR(INDEX($P$2:P17,MATCH(1,($K$2:K17=K18)*($L$2:L17=L18)*($M$2:M17=M18)*($N$2:N17=N18)*($O$2:O17=O18),0)),"G11")</f>
        <v>G9</v>
      </c>
      <c r="Q18" s="3" t="str">
        <f t="shared" si="13"/>
        <v>G2</v>
      </c>
      <c r="R18" s="3" t="str">
        <f t="shared" si="14"/>
        <v>G9</v>
      </c>
      <c r="S18" s="3" t="str">
        <f t="shared" si="15"/>
        <v>G9</v>
      </c>
      <c r="T18" s="3" t="str">
        <f t="shared" si="16"/>
        <v>G5</v>
      </c>
      <c r="U18" s="5" t="str">
        <f t="array" ref="U18">IF(COUNTIF($P$2:$P$23,P18)=1,P18,IFERROR(INDEX($U$2:U17,MATCH(1,($P$2:P17=P18)*($Q$2:Q17=Q18)*($R$2:R17=R18)*($S$2:S17=S18)*($T$2:T17=T18),0)),"G14"))</f>
        <v>G14</v>
      </c>
      <c r="V18" s="3" t="str">
        <f t="shared" si="17"/>
        <v>G2</v>
      </c>
      <c r="W18" s="3" t="str">
        <f t="shared" si="18"/>
        <v>G12</v>
      </c>
      <c r="X18" s="3" t="str">
        <f t="shared" si="19"/>
        <v>G14</v>
      </c>
      <c r="Y18" s="3" t="str">
        <f t="shared" si="20"/>
        <v>G5</v>
      </c>
      <c r="Z18" s="5" t="str">
        <f t="shared" si="30"/>
        <v>G14</v>
      </c>
      <c r="AA18" s="3" t="str">
        <f t="shared" si="21"/>
        <v>G2</v>
      </c>
      <c r="AB18" s="3" t="str">
        <f t="shared" si="22"/>
        <v>G12</v>
      </c>
      <c r="AC18" s="3" t="str">
        <f t="shared" si="23"/>
        <v>G14</v>
      </c>
      <c r="AD18" s="3" t="str">
        <f t="shared" si="24"/>
        <v>G5</v>
      </c>
      <c r="AE18" s="4" t="str">
        <f t="shared" si="31"/>
        <v>G14</v>
      </c>
    </row>
    <row r="19" spans="1:31" s="3" customFormat="1" x14ac:dyDescent="0.25">
      <c r="A19" s="3" t="s">
        <v>22</v>
      </c>
      <c r="B19" s="3" t="s">
        <v>11</v>
      </c>
      <c r="C19" s="3" t="s">
        <v>25</v>
      </c>
      <c r="D19" s="3" t="s">
        <v>11</v>
      </c>
      <c r="E19" s="3" t="s">
        <v>11</v>
      </c>
      <c r="F19" s="4" t="s">
        <v>29</v>
      </c>
      <c r="G19" s="3" t="str">
        <f t="shared" si="5"/>
        <v>G1</v>
      </c>
      <c r="H19" s="3" t="str">
        <f t="shared" si="6"/>
        <v>G1</v>
      </c>
      <c r="I19" s="3" t="str">
        <f t="shared" si="7"/>
        <v>G1</v>
      </c>
      <c r="J19" s="3" t="str">
        <f t="shared" si="8"/>
        <v>G1</v>
      </c>
      <c r="K19" s="4" t="str">
        <f t="array" ref="K19">INDEX($K$2:K18,MATCH(1,($F$2:F18=F19)*($G$2:G18=G19)*($H$2:H18=H19)*($I$2:I18=I19)*($J$2:J18=J19),0))</f>
        <v>G2</v>
      </c>
      <c r="L19" s="3" t="str">
        <f t="shared" si="9"/>
        <v>G2</v>
      </c>
      <c r="M19" s="3" t="str">
        <f t="shared" si="10"/>
        <v>G2</v>
      </c>
      <c r="N19" s="3" t="str">
        <f t="shared" si="11"/>
        <v>G2</v>
      </c>
      <c r="O19" s="3" t="str">
        <f t="shared" si="12"/>
        <v>G2</v>
      </c>
      <c r="P19" s="4" t="str">
        <f t="array" ref="P19">IFERROR(INDEX($P$2:P18,MATCH(1,($K$2:K18=K19)*($L$2:L18=L19)*($M$2:M18=M19)*($N$2:N18=N19)*($O$2:O18=O19),0)),"G11")</f>
        <v>G2</v>
      </c>
      <c r="Q19" s="3" t="str">
        <f t="shared" si="13"/>
        <v>G2</v>
      </c>
      <c r="R19" s="3" t="str">
        <f t="shared" si="14"/>
        <v>G2</v>
      </c>
      <c r="S19" s="3" t="str">
        <f t="shared" si="15"/>
        <v>G2</v>
      </c>
      <c r="T19" s="3" t="str">
        <f t="shared" si="16"/>
        <v>G2</v>
      </c>
      <c r="U19" s="4" t="str">
        <f t="array" ref="U19">IF(COUNTIF($P$2:$P$23,P19)=1,P19,IFERROR(INDEX($U$2:U18,MATCH(1,($P$2:P18=P19)*($Q$2:Q18=Q19)*($R$2:R18=R19)*($S$2:S18=S19)*($T$2:T18=T19),0)),"G15"))</f>
        <v>G2</v>
      </c>
      <c r="V19" s="3" t="str">
        <f t="shared" si="17"/>
        <v>G2</v>
      </c>
      <c r="W19" s="3" t="str">
        <f t="shared" si="18"/>
        <v>G2</v>
      </c>
      <c r="X19" s="3" t="str">
        <f t="shared" si="19"/>
        <v>G2</v>
      </c>
      <c r="Y19" s="3" t="str">
        <f t="shared" si="20"/>
        <v>G2</v>
      </c>
      <c r="Z19" s="4" t="s">
        <v>28</v>
      </c>
      <c r="AA19" s="3" t="str">
        <f t="shared" si="21"/>
        <v>G2</v>
      </c>
      <c r="AB19" s="3" t="str">
        <f t="shared" si="22"/>
        <v>G2</v>
      </c>
      <c r="AC19" s="3" t="str">
        <f t="shared" si="23"/>
        <v>G2</v>
      </c>
      <c r="AD19" s="3" t="str">
        <f t="shared" si="24"/>
        <v>G2</v>
      </c>
      <c r="AE19" s="4" t="s">
        <v>28</v>
      </c>
    </row>
    <row r="20" spans="1:31" s="3" customFormat="1" x14ac:dyDescent="0.25">
      <c r="A20" s="3" t="s">
        <v>23</v>
      </c>
      <c r="B20" s="3" t="s">
        <v>26</v>
      </c>
      <c r="C20" s="3" t="s">
        <v>11</v>
      </c>
      <c r="D20" s="3" t="s">
        <v>11</v>
      </c>
      <c r="E20" s="3" t="s">
        <v>11</v>
      </c>
      <c r="F20" s="4" t="s">
        <v>29</v>
      </c>
      <c r="G20" s="3" t="str">
        <f t="shared" si="5"/>
        <v>G2</v>
      </c>
      <c r="H20" s="3" t="str">
        <f t="shared" si="6"/>
        <v>G1</v>
      </c>
      <c r="I20" s="3" t="str">
        <f t="shared" si="7"/>
        <v>G1</v>
      </c>
      <c r="J20" s="3" t="str">
        <f t="shared" si="8"/>
        <v>G1</v>
      </c>
      <c r="K20" s="4" t="s">
        <v>35</v>
      </c>
      <c r="L20" s="3" t="str">
        <f t="shared" si="9"/>
        <v>G1</v>
      </c>
      <c r="M20" s="3" t="str">
        <f t="shared" si="10"/>
        <v>G2</v>
      </c>
      <c r="N20" s="3" t="str">
        <f t="shared" si="11"/>
        <v>G2</v>
      </c>
      <c r="O20" s="3" t="str">
        <f t="shared" si="12"/>
        <v>G2</v>
      </c>
      <c r="P20" s="5" t="str">
        <f t="shared" si="27"/>
        <v>G7</v>
      </c>
      <c r="Q20" s="3" t="str">
        <f t="shared" si="13"/>
        <v>G1</v>
      </c>
      <c r="R20" s="3" t="str">
        <f t="shared" si="14"/>
        <v>G2</v>
      </c>
      <c r="S20" s="3" t="str">
        <f t="shared" si="15"/>
        <v>G2</v>
      </c>
      <c r="T20" s="3" t="str">
        <f t="shared" si="16"/>
        <v>G2</v>
      </c>
      <c r="U20" s="5" t="str">
        <f t="array" ref="U20">IF(COUNTIF($P$2:$P$23,P20)=1,P20,IFERROR(INDEX($U$2:U19,MATCH(1,($P$2:P19=P20)*($Q$2:Q19=Q20)*($R$2:R19=R20)*($S$2:S19=S20)*($T$2:T19=T20),0)),"G15"))</f>
        <v>G7</v>
      </c>
      <c r="V20" s="3" t="str">
        <f t="shared" si="17"/>
        <v>G1</v>
      </c>
      <c r="W20" s="3" t="str">
        <f t="shared" si="18"/>
        <v>G2</v>
      </c>
      <c r="X20" s="3" t="str">
        <f t="shared" si="19"/>
        <v>G2</v>
      </c>
      <c r="Y20" s="3" t="str">
        <f t="shared" si="20"/>
        <v>G2</v>
      </c>
      <c r="Z20" s="5" t="str">
        <f>U20</f>
        <v>G7</v>
      </c>
      <c r="AA20" s="3" t="str">
        <f t="shared" si="21"/>
        <v>G1</v>
      </c>
      <c r="AB20" s="3" t="str">
        <f t="shared" si="22"/>
        <v>G2</v>
      </c>
      <c r="AC20" s="3" t="str">
        <f t="shared" si="23"/>
        <v>G2</v>
      </c>
      <c r="AD20" s="3" t="str">
        <f t="shared" si="24"/>
        <v>G2</v>
      </c>
      <c r="AE20" s="4" t="str">
        <f>Z20</f>
        <v>G7</v>
      </c>
    </row>
    <row r="21" spans="1:31" s="3" customFormat="1" x14ac:dyDescent="0.25">
      <c r="A21" s="3" t="s">
        <v>24</v>
      </c>
      <c r="B21" s="3" t="s">
        <v>11</v>
      </c>
      <c r="C21" s="3" t="s">
        <v>22</v>
      </c>
      <c r="D21" s="3" t="s">
        <v>11</v>
      </c>
      <c r="E21" s="3" t="s">
        <v>11</v>
      </c>
      <c r="F21" s="4" t="s">
        <v>29</v>
      </c>
      <c r="G21" s="3" t="str">
        <f t="shared" si="5"/>
        <v>G1</v>
      </c>
      <c r="H21" s="3" t="str">
        <f t="shared" si="6"/>
        <v>G1</v>
      </c>
      <c r="I21" s="3" t="str">
        <f t="shared" si="7"/>
        <v>G1</v>
      </c>
      <c r="J21" s="3" t="str">
        <f t="shared" si="8"/>
        <v>G1</v>
      </c>
      <c r="K21" s="4" t="str">
        <f t="array" ref="K21">INDEX($K$2:K20,MATCH(1,($F$2:F20=F21)*($G$2:G20=G21)*($H$2:H20=H21)*($I$2:I20=I21)*($J$2:J20=J21),0))</f>
        <v>G2</v>
      </c>
      <c r="L21" s="3" t="str">
        <f t="shared" si="9"/>
        <v>G2</v>
      </c>
      <c r="M21" s="3" t="str">
        <f t="shared" si="10"/>
        <v>G2</v>
      </c>
      <c r="N21" s="3" t="str">
        <f t="shared" si="11"/>
        <v>G2</v>
      </c>
      <c r="O21" s="3" t="str">
        <f t="shared" si="12"/>
        <v>G2</v>
      </c>
      <c r="P21" s="4" t="str">
        <f t="array" ref="P21">IFERROR(INDEX($P$2:P20,MATCH(1,($K$2:K20=K21)*($L$2:L20=L21)*($M$2:M20=M21)*($N$2:N20=N21)*($O$2:O20=O21),0)),"G11")</f>
        <v>G2</v>
      </c>
      <c r="Q21" s="3" t="str">
        <f t="shared" si="13"/>
        <v>G2</v>
      </c>
      <c r="R21" s="3" t="str">
        <f t="shared" si="14"/>
        <v>G2</v>
      </c>
      <c r="S21" s="3" t="str">
        <f t="shared" si="15"/>
        <v>G2</v>
      </c>
      <c r="T21" s="3" t="str">
        <f t="shared" si="16"/>
        <v>G2</v>
      </c>
      <c r="U21" s="4" t="str">
        <f t="array" ref="U21">IF(COUNTIF($P$2:$P$23,P21)=1,P21,IFERROR(INDEX($U$2:U20,MATCH(1,($P$2:P20=P21)*($Q$2:Q20=Q21)*($R$2:R20=R21)*($S$2:S20=S21)*($T$2:T20=T21),0)),"G15"))</f>
        <v>G2</v>
      </c>
      <c r="V21" s="3" t="str">
        <f t="shared" si="17"/>
        <v>G2</v>
      </c>
      <c r="W21" s="3" t="str">
        <f t="shared" si="18"/>
        <v>G2</v>
      </c>
      <c r="X21" s="3" t="str">
        <f t="shared" si="19"/>
        <v>G2</v>
      </c>
      <c r="Y21" s="3" t="str">
        <f t="shared" si="20"/>
        <v>G2</v>
      </c>
      <c r="Z21" s="4" t="s">
        <v>28</v>
      </c>
      <c r="AA21" s="3" t="str">
        <f t="shared" si="21"/>
        <v>G2</v>
      </c>
      <c r="AB21" s="3" t="str">
        <f t="shared" si="22"/>
        <v>G2</v>
      </c>
      <c r="AC21" s="3" t="str">
        <f t="shared" si="23"/>
        <v>G2</v>
      </c>
      <c r="AD21" s="3" t="str">
        <f t="shared" si="24"/>
        <v>G2</v>
      </c>
      <c r="AE21" s="4" t="s">
        <v>28</v>
      </c>
    </row>
    <row r="22" spans="1:31" s="3" customFormat="1" x14ac:dyDescent="0.25">
      <c r="A22" s="3" t="s">
        <v>25</v>
      </c>
      <c r="B22" s="3" t="s">
        <v>11</v>
      </c>
      <c r="C22" s="3" t="s">
        <v>24</v>
      </c>
      <c r="D22" s="3" t="s">
        <v>11</v>
      </c>
      <c r="E22" s="3" t="s">
        <v>11</v>
      </c>
      <c r="F22" s="4" t="s">
        <v>29</v>
      </c>
      <c r="G22" s="3" t="str">
        <f t="shared" si="5"/>
        <v>G1</v>
      </c>
      <c r="H22" s="3" t="str">
        <f t="shared" si="6"/>
        <v>G1</v>
      </c>
      <c r="I22" s="3" t="str">
        <f t="shared" si="7"/>
        <v>G1</v>
      </c>
      <c r="J22" s="3" t="str">
        <f t="shared" si="8"/>
        <v>G1</v>
      </c>
      <c r="K22" s="4" t="str">
        <f t="array" ref="K22">INDEX($K$2:K21,MATCH(1,($F$2:F21=F22)*($G$2:G21=G22)*($H$2:H21=H22)*($I$2:I21=I22)*($J$2:J21=J22),0))</f>
        <v>G2</v>
      </c>
      <c r="L22" s="3" t="str">
        <f t="shared" si="9"/>
        <v>G2</v>
      </c>
      <c r="M22" s="3" t="str">
        <f t="shared" si="10"/>
        <v>G2</v>
      </c>
      <c r="N22" s="3" t="str">
        <f t="shared" si="11"/>
        <v>G2</v>
      </c>
      <c r="O22" s="3" t="str">
        <f t="shared" si="12"/>
        <v>G2</v>
      </c>
      <c r="P22" s="4" t="str">
        <f t="array" ref="P22">IFERROR(INDEX($P$2:P21,MATCH(1,($K$2:K21=K22)*($L$2:L21=L22)*($M$2:M21=M22)*($N$2:N21=N22)*($O$2:O21=O22),0)),"G11")</f>
        <v>G2</v>
      </c>
      <c r="Q22" s="3" t="str">
        <f t="shared" si="13"/>
        <v>G2</v>
      </c>
      <c r="R22" s="3" t="str">
        <f t="shared" si="14"/>
        <v>G2</v>
      </c>
      <c r="S22" s="3" t="str">
        <f t="shared" si="15"/>
        <v>G2</v>
      </c>
      <c r="T22" s="3" t="str">
        <f t="shared" si="16"/>
        <v>G2</v>
      </c>
      <c r="U22" s="4" t="str">
        <f t="array" ref="U22">IF(COUNTIF($P$2:$P$23,P22)=1,P22,IFERROR(INDEX($U$2:U21,MATCH(1,($P$2:P21=P22)*($Q$2:Q21=Q22)*($R$2:R21=R22)*($S$2:S21=S22)*($T$2:T21=T22),0)),"G15"))</f>
        <v>G2</v>
      </c>
      <c r="V22" s="3" t="str">
        <f t="shared" si="17"/>
        <v>G2</v>
      </c>
      <c r="W22" s="3" t="str">
        <f t="shared" si="18"/>
        <v>G2</v>
      </c>
      <c r="X22" s="3" t="str">
        <f t="shared" si="19"/>
        <v>G2</v>
      </c>
      <c r="Y22" s="3" t="str">
        <f t="shared" si="20"/>
        <v>G2</v>
      </c>
      <c r="Z22" s="4" t="s">
        <v>28</v>
      </c>
      <c r="AA22" s="3" t="str">
        <f t="shared" si="21"/>
        <v>G2</v>
      </c>
      <c r="AB22" s="3" t="str">
        <f t="shared" si="22"/>
        <v>G2</v>
      </c>
      <c r="AC22" s="3" t="str">
        <f t="shared" si="23"/>
        <v>G2</v>
      </c>
      <c r="AD22" s="3" t="str">
        <f t="shared" si="24"/>
        <v>G2</v>
      </c>
      <c r="AE22" s="4" t="s">
        <v>28</v>
      </c>
    </row>
    <row r="23" spans="1:31" s="3" customFormat="1" x14ac:dyDescent="0.25">
      <c r="A23" s="3" t="s">
        <v>26</v>
      </c>
      <c r="B23" s="3" t="s">
        <v>6</v>
      </c>
      <c r="C23" s="3" t="s">
        <v>7</v>
      </c>
      <c r="D23" s="3" t="s">
        <v>8</v>
      </c>
      <c r="E23" s="3" t="s">
        <v>9</v>
      </c>
      <c r="F23" s="4" t="s">
        <v>28</v>
      </c>
      <c r="G23" s="3" t="str">
        <f t="shared" si="5"/>
        <v>G1</v>
      </c>
      <c r="H23" s="3" t="str">
        <f t="shared" si="6"/>
        <v>G1</v>
      </c>
      <c r="I23" s="3" t="str">
        <f t="shared" si="7"/>
        <v>G2</v>
      </c>
      <c r="J23" s="3" t="str">
        <f t="shared" si="8"/>
        <v>G2</v>
      </c>
      <c r="K23" s="4" t="str">
        <f t="array" ref="K23">INDEX($K$2:K22,MATCH(1,($F$2:F22=F23)*($G$2:G22=G23)*($H$2:H22=H23)*($I$2:I22=I23)*($J$2:J22=J23),0))</f>
        <v>G1</v>
      </c>
      <c r="L23" s="3" t="str">
        <f t="shared" si="9"/>
        <v>G2</v>
      </c>
      <c r="M23" s="3" t="str">
        <f t="shared" si="10"/>
        <v>G2</v>
      </c>
      <c r="N23" s="3" t="str">
        <f t="shared" si="11"/>
        <v>G1</v>
      </c>
      <c r="O23" s="3" t="str">
        <f t="shared" si="12"/>
        <v>G3</v>
      </c>
      <c r="P23" s="4" t="str">
        <f t="array" ref="P23">IFERROR(INDEX($P$2:P22,MATCH(1,($K$2:K22=K23)*($L$2:L22=L23)*($M$2:M22=M23)*($N$2:N22=N23)*($O$2:O22=O23),0)),"G11")</f>
        <v>G1</v>
      </c>
      <c r="Q23" s="3" t="str">
        <f t="shared" si="13"/>
        <v>G2</v>
      </c>
      <c r="R23" s="3" t="str">
        <f t="shared" si="14"/>
        <v>G3</v>
      </c>
      <c r="S23" s="3" t="str">
        <f t="shared" si="15"/>
        <v>G1</v>
      </c>
      <c r="T23" s="3" t="str">
        <f t="shared" si="16"/>
        <v>G8</v>
      </c>
      <c r="U23" s="4" t="str">
        <f t="array" ref="U23">IF(COUNTIF($P$2:$P$23,P23)=1,P23,IFERROR(INDEX($U$2:U22,MATCH(1,($P$2:P22=P23)*($Q$2:Q22=Q23)*($R$2:R22=R23)*($S$2:S22=S23)*($T$2:T22=T23),0)),"G15"))</f>
        <v>G1</v>
      </c>
      <c r="V23" s="3" t="str">
        <f t="shared" si="17"/>
        <v>G2</v>
      </c>
      <c r="W23" s="3" t="str">
        <f t="shared" si="18"/>
        <v>G3</v>
      </c>
      <c r="X23" s="3" t="str">
        <f t="shared" si="19"/>
        <v>G8</v>
      </c>
      <c r="Y23" s="3" t="str">
        <f t="shared" si="20"/>
        <v>G9</v>
      </c>
      <c r="Z23" s="4" t="str">
        <f>U23</f>
        <v>G1</v>
      </c>
      <c r="AA23" s="3" t="str">
        <f t="shared" si="21"/>
        <v>G15</v>
      </c>
      <c r="AB23" s="3" t="str">
        <f t="shared" si="22"/>
        <v>G3</v>
      </c>
      <c r="AC23" s="3" t="str">
        <f t="shared" si="23"/>
        <v>G8</v>
      </c>
      <c r="AD23" s="3" t="str">
        <f t="shared" si="24"/>
        <v>G9</v>
      </c>
      <c r="AE23" s="4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Andrés Efstratiadis</cp:lastModifiedBy>
  <dcterms:created xsi:type="dcterms:W3CDTF">2015-06-05T18:19:34Z</dcterms:created>
  <dcterms:modified xsi:type="dcterms:W3CDTF">2026-05-01T17:31:18Z</dcterms:modified>
</cp:coreProperties>
</file>